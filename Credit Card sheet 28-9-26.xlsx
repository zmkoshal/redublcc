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hid Mahmood\Desktop\"/>
    </mc:Choice>
  </mc:AlternateContent>
  <xr:revisionPtr revIDLastSave="0" documentId="13_ncr:1_{A5E8E0DD-A119-4C66-924C-49F0FA00FBA2}" xr6:coauthVersionLast="47" xr6:coauthVersionMax="47" xr10:uidLastSave="{00000000-0000-0000-0000-000000000000}"/>
  <bookViews>
    <workbookView xWindow="-108" yWindow="-108" windowWidth="23256" windowHeight="12456" xr2:uid="{6A05CBC2-F2CC-44AE-9B24-5BEC122A8EF2}"/>
  </bookViews>
  <sheets>
    <sheet name="Sheet1" sheetId="1" r:id="rId1"/>
  </sheets>
  <definedNames>
    <definedName name="_xlnm.Print_Area" localSheetId="0">Sheet1!$A$1:$I$866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0" i="1" l="1"/>
  <c r="G51" i="1"/>
  <c r="E51" i="1"/>
  <c r="F50" i="1"/>
  <c r="F51" i="1" s="1"/>
  <c r="G74" i="1"/>
  <c r="F74" i="1"/>
  <c r="E74" i="1"/>
  <c r="H73" i="1"/>
  <c r="H74" i="1" s="1"/>
  <c r="G72" i="1"/>
  <c r="F72" i="1"/>
  <c r="E72" i="1"/>
  <c r="H71" i="1"/>
  <c r="H72" i="1" s="1"/>
  <c r="G68" i="1"/>
  <c r="F68" i="1"/>
  <c r="E68" i="1"/>
  <c r="H67" i="1"/>
  <c r="E89" i="1" s="1"/>
  <c r="E90" i="1" s="1"/>
  <c r="G65" i="1"/>
  <c r="F65" i="1"/>
  <c r="E65" i="1"/>
  <c r="H64" i="1"/>
  <c r="H63" i="1"/>
  <c r="H62" i="1"/>
  <c r="G60" i="1"/>
  <c r="F60" i="1"/>
  <c r="E60" i="1"/>
  <c r="H59" i="1"/>
  <c r="H58" i="1"/>
  <c r="D58" i="1"/>
  <c r="G56" i="1"/>
  <c r="E56" i="1"/>
  <c r="F55" i="1"/>
  <c r="H55" i="1" s="1"/>
  <c r="F54" i="1"/>
  <c r="D54" i="1"/>
  <c r="G47" i="1"/>
  <c r="E47" i="1"/>
  <c r="F46" i="1"/>
  <c r="H46" i="1" s="1"/>
  <c r="H47" i="1" s="1"/>
  <c r="G44" i="1"/>
  <c r="F44" i="1"/>
  <c r="E44" i="1"/>
  <c r="H43" i="1"/>
  <c r="H42" i="1"/>
  <c r="G40" i="1"/>
  <c r="E40" i="1"/>
  <c r="H39" i="1"/>
  <c r="F38" i="1"/>
  <c r="F40" i="1" s="1"/>
  <c r="G36" i="1"/>
  <c r="F36" i="1"/>
  <c r="E36" i="1"/>
  <c r="H35" i="1"/>
  <c r="H34" i="1"/>
  <c r="G32" i="1"/>
  <c r="E32" i="1"/>
  <c r="H31" i="1"/>
  <c r="F30" i="1"/>
  <c r="F32" i="1" s="1"/>
  <c r="G28" i="1"/>
  <c r="F28" i="1"/>
  <c r="E28" i="1"/>
  <c r="H27" i="1"/>
  <c r="H26" i="1"/>
  <c r="H25" i="1"/>
  <c r="E23" i="1"/>
  <c r="F22" i="1"/>
  <c r="H22" i="1" s="1"/>
  <c r="G21" i="1"/>
  <c r="G23" i="1" s="1"/>
  <c r="F21" i="1"/>
  <c r="H20" i="1"/>
  <c r="E18" i="1"/>
  <c r="G17" i="1"/>
  <c r="H17" i="1" s="1"/>
  <c r="F16" i="1"/>
  <c r="H16" i="1" s="1"/>
  <c r="G14" i="1"/>
  <c r="F14" i="1"/>
  <c r="E14" i="1"/>
  <c r="H13" i="1"/>
  <c r="H12" i="1"/>
  <c r="H11" i="1"/>
  <c r="H10" i="1"/>
  <c r="H9" i="1"/>
  <c r="G7" i="1"/>
  <c r="E7" i="1"/>
  <c r="F6" i="1"/>
  <c r="F7" i="1" s="1"/>
  <c r="D6" i="1"/>
  <c r="F23" i="1" l="1"/>
  <c r="F56" i="1"/>
  <c r="H50" i="1"/>
  <c r="H51" i="1" s="1"/>
  <c r="H60" i="1"/>
  <c r="H44" i="1"/>
  <c r="H36" i="1"/>
  <c r="H14" i="1"/>
  <c r="H18" i="1"/>
  <c r="F47" i="1"/>
  <c r="H65" i="1"/>
  <c r="H28" i="1"/>
  <c r="G18" i="1"/>
  <c r="G75" i="1" s="1"/>
  <c r="H30" i="1"/>
  <c r="H32" i="1" s="1"/>
  <c r="E75" i="1"/>
  <c r="F18" i="1"/>
  <c r="H6" i="1"/>
  <c r="H7" i="1" s="1"/>
  <c r="H21" i="1"/>
  <c r="H23" i="1" s="1"/>
  <c r="H38" i="1"/>
  <c r="H40" i="1" s="1"/>
  <c r="H54" i="1"/>
  <c r="H56" i="1" s="1"/>
  <c r="H68" i="1"/>
  <c r="F75" i="1" l="1"/>
  <c r="H75" i="1"/>
  <c r="H77" i="1" s="1"/>
</calcChain>
</file>

<file path=xl/sharedStrings.xml><?xml version="1.0" encoding="utf-8"?>
<sst xmlns="http://schemas.openxmlformats.org/spreadsheetml/2006/main" count="72" uniqueCount="41">
  <si>
    <t>Dollar
Online</t>
  </si>
  <si>
    <t>Dollar 
Rate</t>
  </si>
  <si>
    <t>Adv Tax</t>
  </si>
  <si>
    <t>Sales Tax 
Withhelld</t>
  </si>
  <si>
    <t>Rs.</t>
  </si>
  <si>
    <t>Total</t>
  </si>
  <si>
    <t>Party Name</t>
  </si>
  <si>
    <t>Mid-Journey</t>
  </si>
  <si>
    <t>Shutterstock</t>
  </si>
  <si>
    <t>CHARGE TO SYED HAMMAD HASAN</t>
  </si>
  <si>
    <t>FEDERAL EXCISE DUTY</t>
  </si>
  <si>
    <t>NETFLIX.COM SINGPORE SG</t>
  </si>
  <si>
    <t>WWW.CONTABO.COM MUNCHEN DE</t>
  </si>
  <si>
    <r>
      <t xml:space="preserve">GOOGLE GSUIE RED.COM.PK </t>
    </r>
    <r>
      <rPr>
        <b/>
        <sz val="11"/>
        <color theme="1"/>
        <rFont val="Calibri"/>
        <family val="2"/>
        <scheme val="minor"/>
      </rPr>
      <t>CHARGE TO RED</t>
    </r>
  </si>
  <si>
    <t>Microsoft Teams for Ms.Sabene.</t>
  </si>
  <si>
    <t>CHARGE TO RED</t>
  </si>
  <si>
    <t>GOOGLE GSUIE PFDC.ORG(CHARGE TO CLIENT)</t>
  </si>
  <si>
    <t>SUMMARY</t>
  </si>
  <si>
    <t>CHARGE TO PFDC</t>
  </si>
  <si>
    <t>CHARGE TO HAMMAD SAB</t>
  </si>
  <si>
    <t>DETAIL</t>
  </si>
  <si>
    <t>AMOUNT</t>
  </si>
  <si>
    <t>G.TOTAL</t>
  </si>
  <si>
    <t>ADDITIONAL ST S-CATAX@5%</t>
  </si>
  <si>
    <t>SMS FEE BILLING</t>
  </si>
  <si>
    <t>Image Monthly Subscrprtion 750 Download</t>
  </si>
  <si>
    <t>Google Drive(Data Upload for Client)</t>
  </si>
  <si>
    <t>OPENAI CHATGPT SUBSCR OPENAI.COM US</t>
  </si>
  <si>
    <t>MGF MAGNFIC PREMIUM MALAGA ES</t>
  </si>
  <si>
    <t>GROK XAI WWW.GROK.COM US</t>
  </si>
  <si>
    <r>
      <t>SHOPIFY* 552473168 65800852669 SG</t>
    </r>
    <r>
      <rPr>
        <b/>
        <sz val="11"/>
        <color rgb="FFFF0000"/>
        <rFont val="Calibri"/>
        <family val="2"/>
        <scheme val="minor"/>
      </rPr>
      <t xml:space="preserve"> (CHARGE TO KKOP)</t>
    </r>
  </si>
  <si>
    <t>ANTHRPIC CLAUDE SUB ANTHROPIC.COMUS</t>
  </si>
  <si>
    <t>CHARGE TO KOOP</t>
  </si>
  <si>
    <t>CHARGE TO KKOP</t>
  </si>
  <si>
    <t xml:space="preserve">MGF MAGNFIC PREMIUM MALAGA ES </t>
  </si>
  <si>
    <t>IT                                                                                 Admin &amp; HR                                                                                                                 HEAD OF FINANCE</t>
  </si>
  <si>
    <t>*</t>
  </si>
  <si>
    <t xml:space="preserve">ELEVENLABS </t>
  </si>
  <si>
    <t>Godday renewal kallarkaharpress.com</t>
  </si>
  <si>
    <t>Statement Date 20-Sep2026   Payment Due Date 11-Oct-2026</t>
  </si>
  <si>
    <t>UBLCREDIT CARD STATEMENT FOR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</si>
</sst>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43" fontId="0" fillId="0" borderId="0" xfId="1" applyFont="1"/>
    <xf numFmtId="43" fontId="0" fillId="0" borderId="0" xfId="0" applyNumberFormat="1"/>
    <xf numFmtId="0" fontId="0" fillId="0" borderId="0" xfId="0" applyAlignment="1">
      <alignment horizontal="center" vertical="center"/>
    </xf>
    <xf numFmtId="43" fontId="0" fillId="0" borderId="0" xfId="1" applyFont="1" applyFill="1"/>
    <xf numFmtId="43" fontId="2" fillId="0" borderId="0" xfId="1" applyFont="1" applyFill="1" applyBorder="1"/>
    <xf numFmtId="43" fontId="2" fillId="0" borderId="3" xfId="1" applyFont="1" applyFill="1" applyBorder="1"/>
    <xf numFmtId="0" fontId="0" fillId="0" borderId="0" xfId="0" applyAlignment="1">
      <alignment vertical="top"/>
    </xf>
    <xf numFmtId="164" fontId="0" fillId="3" borderId="0" xfId="1" applyNumberFormat="1" applyFont="1" applyFill="1"/>
    <xf numFmtId="164" fontId="0" fillId="0" borderId="0" xfId="1" applyNumberFormat="1" applyFont="1" applyFill="1"/>
    <xf numFmtId="43" fontId="0" fillId="0" borderId="0" xfId="1" applyFont="1" applyFill="1" applyBorder="1"/>
    <xf numFmtId="0" fontId="2" fillId="0" borderId="0" xfId="0" applyFont="1" applyAlignment="1">
      <alignment vertical="top"/>
    </xf>
    <xf numFmtId="164" fontId="2" fillId="0" borderId="0" xfId="1" applyNumberFormat="1" applyFont="1" applyFill="1" applyBorder="1"/>
    <xf numFmtId="43" fontId="2" fillId="0" borderId="0" xfId="0" applyNumberFormat="1" applyFont="1"/>
    <xf numFmtId="0" fontId="0" fillId="0" borderId="5" xfId="0" applyBorder="1"/>
    <xf numFmtId="164" fontId="0" fillId="0" borderId="5" xfId="1" applyNumberFormat="1" applyFont="1" applyFill="1" applyBorder="1"/>
    <xf numFmtId="164" fontId="0" fillId="0" borderId="0" xfId="1" applyNumberFormat="1" applyFont="1" applyFill="1" applyBorder="1"/>
    <xf numFmtId="0" fontId="0" fillId="0" borderId="1" xfId="0" applyBorder="1" applyAlignment="1">
      <alignment vertical="top"/>
    </xf>
    <xf numFmtId="0" fontId="0" fillId="0" borderId="1" xfId="0" applyBorder="1"/>
    <xf numFmtId="43" fontId="0" fillId="0" borderId="1" xfId="1" applyFont="1" applyFill="1" applyBorder="1"/>
    <xf numFmtId="164" fontId="0" fillId="0" borderId="1" xfId="1" applyNumberFormat="1" applyFont="1" applyFill="1" applyBorder="1"/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43" fontId="2" fillId="0" borderId="0" xfId="1" applyFont="1" applyAlignment="1">
      <alignment horizontal="right"/>
    </xf>
    <xf numFmtId="43" fontId="2" fillId="0" borderId="2" xfId="1" applyFont="1" applyBorder="1"/>
    <xf numFmtId="43" fontId="2" fillId="0" borderId="1" xfId="1" applyFont="1" applyFill="1" applyBorder="1"/>
    <xf numFmtId="43" fontId="2" fillId="0" borderId="1" xfId="1" applyFont="1" applyBorder="1"/>
    <xf numFmtId="0" fontId="2" fillId="4" borderId="6" xfId="0" applyFont="1" applyFill="1" applyBorder="1" applyAlignment="1">
      <alignment horizontal="center"/>
    </xf>
    <xf numFmtId="43" fontId="2" fillId="4" borderId="3" xfId="1" applyFont="1" applyFill="1" applyBorder="1"/>
    <xf numFmtId="0" fontId="0" fillId="0" borderId="4" xfId="0" applyBorder="1"/>
    <xf numFmtId="43" fontId="0" fillId="0" borderId="4" xfId="1" applyFont="1" applyFill="1" applyBorder="1"/>
    <xf numFmtId="43" fontId="2" fillId="0" borderId="4" xfId="1" applyFont="1" applyFill="1" applyBorder="1"/>
    <xf numFmtId="164" fontId="2" fillId="0" borderId="4" xfId="1" applyNumberFormat="1" applyFont="1" applyFill="1" applyBorder="1"/>
    <xf numFmtId="0" fontId="2" fillId="0" borderId="0" xfId="0" applyFont="1" applyAlignment="1">
      <alignment horizontal="center" vertical="center" wrapText="1"/>
    </xf>
    <xf numFmtId="43" fontId="2" fillId="0" borderId="0" xfId="1" applyFont="1" applyFill="1" applyBorder="1" applyAlignment="1">
      <alignment horizontal="center" vertical="center" wrapText="1"/>
    </xf>
    <xf numFmtId="43" fontId="2" fillId="0" borderId="0" xfId="1" applyFont="1" applyFill="1" applyBorder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 wrapText="1"/>
    </xf>
    <xf numFmtId="164" fontId="2" fillId="0" borderId="3" xfId="1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43" fontId="2" fillId="0" borderId="1" xfId="1" applyFont="1" applyFill="1" applyBorder="1" applyAlignment="1">
      <alignment horizontal="center" vertical="center" wrapText="1"/>
    </xf>
    <xf numFmtId="43" fontId="2" fillId="0" borderId="1" xfId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 wrapText="1"/>
    </xf>
    <xf numFmtId="43" fontId="0" fillId="0" borderId="5" xfId="1" applyFont="1" applyFill="1" applyBorder="1"/>
    <xf numFmtId="0" fontId="6" fillId="0" borderId="1" xfId="0" applyFont="1" applyBorder="1" applyAlignment="1">
      <alignment vertical="top"/>
    </xf>
    <xf numFmtId="0" fontId="2" fillId="4" borderId="0" xfId="0" applyFont="1" applyFill="1" applyAlignment="1">
      <alignment horizontal="left" vertical="center" wrapText="1"/>
    </xf>
    <xf numFmtId="43" fontId="7" fillId="0" borderId="1" xfId="1" applyFont="1" applyFill="1" applyBorder="1"/>
    <xf numFmtId="43" fontId="4" fillId="0" borderId="0" xfId="1" applyFont="1" applyFill="1" applyBorder="1"/>
    <xf numFmtId="164" fontId="7" fillId="0" borderId="1" xfId="1" applyNumberFormat="1" applyFont="1" applyFill="1" applyBorder="1"/>
    <xf numFmtId="43" fontId="0" fillId="5" borderId="1" xfId="1" applyFont="1" applyFill="1" applyBorder="1"/>
    <xf numFmtId="43" fontId="2" fillId="5" borderId="0" xfId="1" applyFont="1" applyFill="1" applyBorder="1"/>
    <xf numFmtId="43" fontId="0" fillId="2" borderId="1" xfId="1" applyFont="1" applyFill="1" applyBorder="1"/>
    <xf numFmtId="43" fontId="7" fillId="2" borderId="1" xfId="1" applyFont="1" applyFill="1" applyBorder="1"/>
    <xf numFmtId="43" fontId="7" fillId="5" borderId="1" xfId="1" applyFont="1" applyFill="1" applyBorder="1"/>
    <xf numFmtId="43" fontId="0" fillId="6" borderId="1" xfId="1" applyFont="1" applyFill="1" applyBorder="1"/>
    <xf numFmtId="43" fontId="7" fillId="6" borderId="1" xfId="1" applyFont="1" applyFill="1" applyBorder="1"/>
    <xf numFmtId="0" fontId="3" fillId="0" borderId="0" xfId="0" applyFont="1" applyAlignment="1">
      <alignment horizontal="center"/>
    </xf>
    <xf numFmtId="0" fontId="2" fillId="7" borderId="0" xfId="0" applyFont="1" applyFill="1" applyAlignment="1">
      <alignment horizontal="left" vertical="center" wrapText="1"/>
    </xf>
    <xf numFmtId="43" fontId="6" fillId="2" borderId="1" xfId="1" applyFont="1" applyFill="1" applyBorder="1"/>
    <xf numFmtId="0" fontId="2" fillId="0" borderId="2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4" borderId="7" xfId="0" applyFont="1" applyFill="1" applyBorder="1" applyAlignment="1">
      <alignment horizontal="left" vertical="top"/>
    </xf>
    <xf numFmtId="0" fontId="2" fillId="4" borderId="8" xfId="0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2D98-59DB-4D09-A207-DCE148F07DFA}">
  <sheetPr>
    <pageSetUpPr fitToPage="1"/>
  </sheetPr>
  <dimension ref="B1:I863"/>
  <sheetViews>
    <sheetView showGridLines="0" tabSelected="1" zoomScaleNormal="100" workbookViewId="0">
      <selection activeCell="D11" sqref="D11"/>
    </sheetView>
  </sheetViews>
  <sheetFormatPr defaultRowHeight="14.4" x14ac:dyDescent="0.3"/>
  <cols>
    <col min="1" max="1" width="1.33203125" customWidth="1"/>
    <col min="2" max="2" width="56.6640625" bestFit="1" customWidth="1"/>
    <col min="3" max="3" width="11.109375" bestFit="1" customWidth="1"/>
    <col min="4" max="4" width="14.33203125" style="1" customWidth="1"/>
    <col min="5" max="5" width="16" style="1" customWidth="1"/>
    <col min="6" max="6" width="12.109375" style="1" customWidth="1"/>
    <col min="7" max="7" width="11.6640625" style="8" customWidth="1"/>
    <col min="8" max="8" width="20.33203125" style="1" customWidth="1"/>
    <col min="9" max="9" width="14.33203125" customWidth="1"/>
    <col min="10" max="10" width="11.109375" bestFit="1" customWidth="1"/>
    <col min="12" max="12" width="17.21875" bestFit="1" customWidth="1"/>
    <col min="13" max="13" width="10.109375" bestFit="1" customWidth="1"/>
    <col min="17" max="17" width="11.109375" bestFit="1" customWidth="1"/>
  </cols>
  <sheetData>
    <row r="1" spans="2:9" ht="15.6" x14ac:dyDescent="0.3">
      <c r="B1" s="61" t="s">
        <v>40</v>
      </c>
      <c r="C1" s="61"/>
      <c r="D1" s="61"/>
      <c r="E1" s="61"/>
      <c r="F1" s="61"/>
      <c r="G1" s="61"/>
      <c r="H1" s="61"/>
    </row>
    <row r="2" spans="2:9" x14ac:dyDescent="0.3">
      <c r="B2" s="62" t="s">
        <v>39</v>
      </c>
      <c r="C2" s="62"/>
      <c r="D2" s="62"/>
      <c r="E2" s="62"/>
      <c r="F2" s="62"/>
      <c r="G2" s="62"/>
      <c r="H2" s="62"/>
    </row>
    <row r="3" spans="2:9" ht="28.8" x14ac:dyDescent="0.3">
      <c r="B3" s="38" t="s">
        <v>6</v>
      </c>
      <c r="C3" s="38" t="s">
        <v>0</v>
      </c>
      <c r="D3" s="39" t="s">
        <v>1</v>
      </c>
      <c r="E3" s="40" t="s">
        <v>4</v>
      </c>
      <c r="F3" s="40" t="s">
        <v>2</v>
      </c>
      <c r="G3" s="41" t="s">
        <v>3</v>
      </c>
      <c r="H3" s="40" t="s">
        <v>5</v>
      </c>
      <c r="I3" s="3"/>
    </row>
    <row r="4" spans="2:9" x14ac:dyDescent="0.3">
      <c r="B4" s="33"/>
      <c r="C4" s="33"/>
      <c r="D4" s="34"/>
      <c r="E4" s="35"/>
      <c r="F4" s="35"/>
      <c r="G4" s="36"/>
      <c r="H4" s="35"/>
      <c r="I4" s="3"/>
    </row>
    <row r="5" spans="2:9" x14ac:dyDescent="0.3">
      <c r="B5" s="44" t="s">
        <v>15</v>
      </c>
      <c r="C5" s="33"/>
      <c r="D5" s="34"/>
      <c r="E5" s="35"/>
      <c r="F5" s="35"/>
      <c r="G5" s="36"/>
      <c r="H5" s="35"/>
      <c r="I5" s="3"/>
    </row>
    <row r="6" spans="2:9" x14ac:dyDescent="0.3">
      <c r="B6" s="17" t="s">
        <v>7</v>
      </c>
      <c r="C6" s="19">
        <v>10</v>
      </c>
      <c r="D6" s="19">
        <f>+E6/C6</f>
        <v>292.44299999999998</v>
      </c>
      <c r="E6" s="50">
        <v>2924.43</v>
      </c>
      <c r="F6" s="51">
        <f>ROUND((+E6*99.5194341117841%*0.48056588821596%),0)+982*0</f>
        <v>14</v>
      </c>
      <c r="G6" s="47">
        <v>14</v>
      </c>
      <c r="H6" s="19">
        <f t="shared" ref="H6" si="0">SUM(E6:G6)</f>
        <v>2952.43</v>
      </c>
    </row>
    <row r="7" spans="2:9" x14ac:dyDescent="0.3">
      <c r="B7" s="7"/>
      <c r="D7" s="10"/>
      <c r="E7" s="5">
        <f>SUM(E6:E6)</f>
        <v>2924.43</v>
      </c>
      <c r="F7" s="5">
        <f>SUM(F6:F6)</f>
        <v>14</v>
      </c>
      <c r="G7" s="5">
        <f>SUM(G6:G6)</f>
        <v>14</v>
      </c>
      <c r="H7" s="5">
        <f>SUBTOTAL(9,H6:H6)</f>
        <v>2952.43</v>
      </c>
    </row>
    <row r="8" spans="2:9" x14ac:dyDescent="0.3">
      <c r="B8" s="44" t="s">
        <v>15</v>
      </c>
      <c r="C8" s="29"/>
      <c r="D8" s="30"/>
      <c r="E8" s="31"/>
      <c r="F8" s="31"/>
      <c r="G8" s="32"/>
      <c r="H8" s="31"/>
    </row>
    <row r="9" spans="2:9" x14ac:dyDescent="0.3">
      <c r="B9" s="17" t="s">
        <v>23</v>
      </c>
      <c r="C9" s="19"/>
      <c r="D9" s="19"/>
      <c r="E9" s="19"/>
      <c r="F9" s="19">
        <v>0</v>
      </c>
      <c r="G9" s="20">
        <v>0</v>
      </c>
      <c r="H9" s="19">
        <f t="shared" ref="H9" si="1">SUM(E9:G9)</f>
        <v>0</v>
      </c>
      <c r="I9" s="10"/>
    </row>
    <row r="10" spans="2:9" x14ac:dyDescent="0.3">
      <c r="B10" s="17" t="s">
        <v>23</v>
      </c>
      <c r="C10" s="19"/>
      <c r="D10" s="19"/>
      <c r="E10" s="19"/>
      <c r="F10" s="19">
        <v>0</v>
      </c>
      <c r="G10" s="20">
        <v>0</v>
      </c>
      <c r="H10" s="19">
        <f t="shared" ref="H10:H13" si="2">SUM(E10:G10)</f>
        <v>0</v>
      </c>
      <c r="I10" s="10"/>
    </row>
    <row r="11" spans="2:9" x14ac:dyDescent="0.3">
      <c r="B11" s="17" t="s">
        <v>23</v>
      </c>
      <c r="C11" s="19"/>
      <c r="D11" s="19"/>
      <c r="E11" s="19"/>
      <c r="F11" s="19">
        <v>0</v>
      </c>
      <c r="G11" s="20">
        <v>0</v>
      </c>
      <c r="H11" s="19">
        <f t="shared" si="2"/>
        <v>0</v>
      </c>
      <c r="I11" s="10"/>
    </row>
    <row r="12" spans="2:9" x14ac:dyDescent="0.3">
      <c r="B12" s="17" t="s">
        <v>23</v>
      </c>
      <c r="C12" s="19"/>
      <c r="D12" s="19"/>
      <c r="E12" s="19">
        <v>0</v>
      </c>
      <c r="F12" s="19">
        <v>0</v>
      </c>
      <c r="G12" s="20">
        <v>0</v>
      </c>
      <c r="H12" s="19">
        <f t="shared" si="2"/>
        <v>0</v>
      </c>
      <c r="I12" s="10"/>
    </row>
    <row r="13" spans="2:9" x14ac:dyDescent="0.3">
      <c r="B13" s="17" t="s">
        <v>23</v>
      </c>
      <c r="C13" s="19"/>
      <c r="D13" s="19"/>
      <c r="E13" s="19">
        <v>0</v>
      </c>
      <c r="F13" s="19">
        <v>0</v>
      </c>
      <c r="G13" s="20">
        <v>0</v>
      </c>
      <c r="H13" s="19">
        <f t="shared" si="2"/>
        <v>0</v>
      </c>
      <c r="I13" s="10"/>
    </row>
    <row r="14" spans="2:9" x14ac:dyDescent="0.3">
      <c r="B14" s="7"/>
      <c r="D14" s="10"/>
      <c r="E14" s="5">
        <f>SUM(E9:E13)</f>
        <v>0</v>
      </c>
      <c r="F14" s="5">
        <f>SUM(F9:F13)</f>
        <v>0</v>
      </c>
      <c r="G14" s="5">
        <f>SUM(G9:G13)</f>
        <v>0</v>
      </c>
      <c r="H14" s="5">
        <f>SUBTOTAL(9,H9:H13)</f>
        <v>0</v>
      </c>
    </row>
    <row r="15" spans="2:9" x14ac:dyDescent="0.3">
      <c r="B15" s="44" t="s">
        <v>15</v>
      </c>
      <c r="D15" s="4"/>
      <c r="E15" s="4"/>
      <c r="F15" s="4"/>
      <c r="G15" s="9"/>
      <c r="H15" s="4"/>
    </row>
    <row r="16" spans="2:9" x14ac:dyDescent="0.3">
      <c r="B16" s="17" t="s">
        <v>8</v>
      </c>
      <c r="C16" s="18">
        <v>199</v>
      </c>
      <c r="D16" s="19">
        <v>281.07</v>
      </c>
      <c r="E16" s="50">
        <v>58248.2</v>
      </c>
      <c r="F16" s="57">
        <f>ROUND((+E16*99.5194341117841%*0.48056588821596%),0)+982*0</f>
        <v>279</v>
      </c>
      <c r="G16" s="20">
        <v>0</v>
      </c>
      <c r="H16" s="19">
        <f>SUM(E16:G16)</f>
        <v>58527.199999999997</v>
      </c>
      <c r="I16" s="2" t="s">
        <v>36</v>
      </c>
    </row>
    <row r="17" spans="2:9" x14ac:dyDescent="0.3">
      <c r="B17" s="43" t="s">
        <v>25</v>
      </c>
      <c r="C17" s="18"/>
      <c r="D17" s="19"/>
      <c r="E17" s="19"/>
      <c r="F17" s="19"/>
      <c r="G17" s="20">
        <f t="shared" ref="G17" si="3">+F17</f>
        <v>0</v>
      </c>
      <c r="H17" s="19">
        <f>SUM(E17:G17)</f>
        <v>0</v>
      </c>
      <c r="I17" s="2"/>
    </row>
    <row r="18" spans="2:9" x14ac:dyDescent="0.3">
      <c r="B18" s="7"/>
      <c r="D18" s="10"/>
      <c r="E18" s="5">
        <f>SUBTOTAL(9,E16:E17)</f>
        <v>58248.2</v>
      </c>
      <c r="F18" s="5">
        <f>SUBTOTAL(9,F16:F17)</f>
        <v>279</v>
      </c>
      <c r="G18" s="5">
        <f>SUBTOTAL(9,G16:G17)</f>
        <v>0</v>
      </c>
      <c r="H18" s="5">
        <f>SUBTOTAL(9,H16:H17)</f>
        <v>58527.199999999997</v>
      </c>
      <c r="I18" s="2"/>
    </row>
    <row r="19" spans="2:9" x14ac:dyDescent="0.3">
      <c r="B19" s="7"/>
      <c r="D19" s="10"/>
      <c r="E19" s="5"/>
      <c r="F19" s="5"/>
      <c r="G19" s="12"/>
      <c r="H19" s="5"/>
      <c r="I19" s="2"/>
    </row>
    <row r="20" spans="2:9" x14ac:dyDescent="0.3">
      <c r="B20" s="17" t="s">
        <v>13</v>
      </c>
      <c r="C20" s="19">
        <v>700</v>
      </c>
      <c r="D20" s="19">
        <v>293.64499999999998</v>
      </c>
      <c r="E20" s="53">
        <v>204820</v>
      </c>
      <c r="F20" s="54">
        <v>1025</v>
      </c>
      <c r="G20" s="47">
        <v>0</v>
      </c>
      <c r="H20" s="19">
        <f>SUM(E20:G20)</f>
        <v>205845</v>
      </c>
      <c r="I20" s="2"/>
    </row>
    <row r="21" spans="2:9" x14ac:dyDescent="0.3">
      <c r="B21" s="22" t="s">
        <v>16</v>
      </c>
      <c r="C21" s="19">
        <v>50.4</v>
      </c>
      <c r="D21" s="19">
        <v>293.64503968253968</v>
      </c>
      <c r="E21" s="53">
        <v>14744.41</v>
      </c>
      <c r="F21" s="54">
        <f>ROUND((+E21*99.5194341117841%*0.48056588821596%),0)+982*0</f>
        <v>71</v>
      </c>
      <c r="G21" s="47">
        <f>497.11+203.44+717.598</f>
        <v>1418.1479999999999</v>
      </c>
      <c r="H21" s="19">
        <f>SUM(E21:G21)</f>
        <v>16233.557999999999</v>
      </c>
      <c r="I21" s="2"/>
    </row>
    <row r="22" spans="2:9" x14ac:dyDescent="0.3">
      <c r="B22" s="22"/>
      <c r="C22" s="19"/>
      <c r="D22" s="19"/>
      <c r="E22" s="19"/>
      <c r="F22" s="19">
        <f t="shared" ref="F22" si="4">+E22*95.6937799043062%*5%</f>
        <v>0</v>
      </c>
      <c r="G22" s="20"/>
      <c r="H22" s="19">
        <f t="shared" ref="H22" si="5">SUM(E22:G22)</f>
        <v>0</v>
      </c>
      <c r="I22" s="2"/>
    </row>
    <row r="23" spans="2:9" x14ac:dyDescent="0.3">
      <c r="B23" s="7"/>
      <c r="D23" s="10"/>
      <c r="E23" s="5">
        <f>SUM(E20:E22)</f>
        <v>219564.41</v>
      </c>
      <c r="F23" s="5">
        <f>SUM(F20:F22)</f>
        <v>1096</v>
      </c>
      <c r="G23" s="5">
        <f>SUM(G20:G22)</f>
        <v>1418.1479999999999</v>
      </c>
      <c r="H23" s="5">
        <f>SUBTOTAL(9,H20:H22)</f>
        <v>222078.55799999999</v>
      </c>
      <c r="I23" s="2"/>
    </row>
    <row r="24" spans="2:9" x14ac:dyDescent="0.3">
      <c r="B24" s="44" t="s">
        <v>15</v>
      </c>
      <c r="D24" s="10"/>
      <c r="E24" s="5"/>
      <c r="F24" s="5"/>
      <c r="G24" s="12"/>
      <c r="H24" s="5"/>
      <c r="I24" s="2"/>
    </row>
    <row r="25" spans="2:9" x14ac:dyDescent="0.3">
      <c r="B25" s="17" t="s">
        <v>28</v>
      </c>
      <c r="C25" s="18"/>
      <c r="D25" s="19"/>
      <c r="E25" s="50">
        <v>10350</v>
      </c>
      <c r="F25" s="19"/>
      <c r="G25" s="20"/>
      <c r="H25" s="19">
        <f>SUM(E25:G25)</f>
        <v>10350</v>
      </c>
      <c r="I25" s="2" t="s">
        <v>36</v>
      </c>
    </row>
    <row r="26" spans="2:9" x14ac:dyDescent="0.3">
      <c r="B26" s="17" t="s">
        <v>28</v>
      </c>
      <c r="C26" s="18"/>
      <c r="D26" s="19"/>
      <c r="E26" s="50">
        <v>10350</v>
      </c>
      <c r="F26" s="48"/>
      <c r="G26" s="20"/>
      <c r="H26" s="19">
        <f>SUM(E26:G26)</f>
        <v>10350</v>
      </c>
      <c r="I26" s="2" t="s">
        <v>36</v>
      </c>
    </row>
    <row r="27" spans="2:9" x14ac:dyDescent="0.3">
      <c r="B27" s="43" t="s">
        <v>34</v>
      </c>
      <c r="C27" s="18"/>
      <c r="D27" s="19"/>
      <c r="E27" s="50">
        <v>93150</v>
      </c>
      <c r="F27" s="52"/>
      <c r="G27" s="47"/>
      <c r="H27" s="45">
        <f>SUM(E27:G27)</f>
        <v>93150</v>
      </c>
      <c r="I27" s="2" t="s">
        <v>36</v>
      </c>
    </row>
    <row r="28" spans="2:9" x14ac:dyDescent="0.3">
      <c r="B28" s="7"/>
      <c r="D28" s="10"/>
      <c r="E28" s="5">
        <f>SUM(E25:E27)</f>
        <v>113850</v>
      </c>
      <c r="F28" s="5">
        <f>SUM(F25:F27)</f>
        <v>0</v>
      </c>
      <c r="G28" s="5">
        <f>SUM(G25:G27)</f>
        <v>0</v>
      </c>
      <c r="H28" s="5">
        <f>SUBTOTAL(9,H25:H27)</f>
        <v>113850</v>
      </c>
      <c r="I28" s="2"/>
    </row>
    <row r="29" spans="2:9" x14ac:dyDescent="0.3">
      <c r="B29" s="44" t="s">
        <v>15</v>
      </c>
      <c r="D29" s="10"/>
      <c r="E29" s="5"/>
      <c r="F29" s="5"/>
      <c r="G29" s="12"/>
      <c r="H29" s="5"/>
      <c r="I29" s="2"/>
    </row>
    <row r="30" spans="2:9" x14ac:dyDescent="0.3">
      <c r="B30" s="17" t="s">
        <v>31</v>
      </c>
      <c r="C30" s="18"/>
      <c r="D30" s="19"/>
      <c r="E30" s="50">
        <v>5847.82</v>
      </c>
      <c r="F30" s="52">
        <f>ROUND((+E30*99.5194341117841%*0.48056588821596%),0)+982*0</f>
        <v>28</v>
      </c>
      <c r="G30" s="20"/>
      <c r="H30" s="19">
        <f>SUM(E30:G30)</f>
        <v>5875.82</v>
      </c>
      <c r="I30" s="2" t="s">
        <v>36</v>
      </c>
    </row>
    <row r="31" spans="2:9" x14ac:dyDescent="0.3">
      <c r="B31" s="17" t="s">
        <v>31</v>
      </c>
      <c r="C31" s="18"/>
      <c r="D31" s="19"/>
      <c r="E31" s="19">
        <v>5852</v>
      </c>
      <c r="F31" s="19"/>
      <c r="G31" s="20"/>
      <c r="H31" s="19">
        <f>SUM(E31:G31)</f>
        <v>5852</v>
      </c>
      <c r="I31" s="2" t="s">
        <v>36</v>
      </c>
    </row>
    <row r="32" spans="2:9" x14ac:dyDescent="0.3">
      <c r="B32" s="7"/>
      <c r="D32" s="10"/>
      <c r="E32" s="5">
        <f>SUM(E30:E31)</f>
        <v>11699.82</v>
      </c>
      <c r="F32" s="5">
        <f>SUM(F30:F31)</f>
        <v>28</v>
      </c>
      <c r="G32" s="5">
        <f>SUM(G30:G31)</f>
        <v>0</v>
      </c>
      <c r="H32" s="5">
        <f>SUBTOTAL(9,H30:H31)</f>
        <v>11727.82</v>
      </c>
      <c r="I32" s="2"/>
    </row>
    <row r="33" spans="2:9" x14ac:dyDescent="0.3">
      <c r="B33" s="44" t="s">
        <v>15</v>
      </c>
      <c r="D33" s="10"/>
      <c r="E33" s="5"/>
      <c r="F33" s="5"/>
      <c r="G33" s="12"/>
      <c r="H33" s="5"/>
      <c r="I33" s="2"/>
    </row>
    <row r="34" spans="2:9" x14ac:dyDescent="0.3">
      <c r="B34" s="17" t="s">
        <v>27</v>
      </c>
      <c r="C34" s="18"/>
      <c r="D34" s="19"/>
      <c r="E34" s="50">
        <v>27999</v>
      </c>
      <c r="F34" s="48"/>
      <c r="G34" s="20"/>
      <c r="H34" s="19">
        <f>SUM(E34:G34)</f>
        <v>27999</v>
      </c>
      <c r="I34" s="2" t="s">
        <v>36</v>
      </c>
    </row>
    <row r="35" spans="2:9" x14ac:dyDescent="0.3">
      <c r="B35" s="17"/>
      <c r="C35" s="18"/>
      <c r="D35" s="19"/>
      <c r="E35" s="19"/>
      <c r="F35" s="19"/>
      <c r="G35" s="20"/>
      <c r="H35" s="19">
        <f>SUM(E35:G35)</f>
        <v>0</v>
      </c>
      <c r="I35" s="2"/>
    </row>
    <row r="36" spans="2:9" x14ac:dyDescent="0.3">
      <c r="B36" s="7"/>
      <c r="D36" s="10"/>
      <c r="E36" s="5">
        <f>SUM(E34:E35)</f>
        <v>27999</v>
      </c>
      <c r="F36" s="5">
        <f>SUM(F34:F35)</f>
        <v>0</v>
      </c>
      <c r="G36" s="5">
        <f>SUM(G34:G35)</f>
        <v>0</v>
      </c>
      <c r="H36" s="5">
        <f>SUBTOTAL(9,H34:H35)</f>
        <v>27999</v>
      </c>
      <c r="I36" s="2"/>
    </row>
    <row r="37" spans="2:9" x14ac:dyDescent="0.3">
      <c r="B37" s="44" t="s">
        <v>15</v>
      </c>
      <c r="D37" s="10"/>
      <c r="E37" s="5"/>
      <c r="F37" s="5"/>
      <c r="G37" s="12"/>
      <c r="H37" s="5"/>
      <c r="I37" s="2"/>
    </row>
    <row r="38" spans="2:9" x14ac:dyDescent="0.3">
      <c r="B38" s="17" t="s">
        <v>29</v>
      </c>
      <c r="C38" s="18"/>
      <c r="D38" s="19"/>
      <c r="E38" s="50">
        <v>8773.2999999999993</v>
      </c>
      <c r="F38" s="45">
        <f>ROUND((+E38*99.5194341117841%*0.48056588821596%),0)+982*0</f>
        <v>42</v>
      </c>
      <c r="G38" s="20">
        <v>42</v>
      </c>
      <c r="H38" s="19">
        <f>SUM(E38:G38)</f>
        <v>8857.2999999999993</v>
      </c>
      <c r="I38" s="2" t="s">
        <v>36</v>
      </c>
    </row>
    <row r="39" spans="2:9" x14ac:dyDescent="0.3">
      <c r="B39" s="17"/>
      <c r="C39" s="18"/>
      <c r="D39" s="19"/>
      <c r="E39" s="19"/>
      <c r="F39" s="19"/>
      <c r="G39" s="20"/>
      <c r="H39" s="19">
        <f>SUM(E39:G39)</f>
        <v>0</v>
      </c>
      <c r="I39" s="2"/>
    </row>
    <row r="40" spans="2:9" x14ac:dyDescent="0.3">
      <c r="B40" s="7"/>
      <c r="D40" s="10"/>
      <c r="E40" s="5">
        <f>SUM(E38:E39)</f>
        <v>8773.2999999999993</v>
      </c>
      <c r="F40" s="5">
        <f>SUM(F38:F39)</f>
        <v>42</v>
      </c>
      <c r="G40" s="5">
        <f>SUM(G38:G39)</f>
        <v>42</v>
      </c>
      <c r="H40" s="46">
        <f>SUBTOTAL(9,H38:H39)</f>
        <v>8857.2999999999993</v>
      </c>
      <c r="I40" s="2"/>
    </row>
    <row r="41" spans="2:9" x14ac:dyDescent="0.3">
      <c r="B41" s="56" t="s">
        <v>33</v>
      </c>
      <c r="D41" s="10"/>
      <c r="E41" s="5"/>
      <c r="F41" s="5"/>
      <c r="G41" s="12"/>
      <c r="H41" s="5"/>
      <c r="I41" s="2"/>
    </row>
    <row r="42" spans="2:9" x14ac:dyDescent="0.3">
      <c r="B42" s="17" t="s">
        <v>30</v>
      </c>
      <c r="C42" s="18"/>
      <c r="D42" s="19"/>
      <c r="E42" s="54">
        <v>7315</v>
      </c>
      <c r="F42" s="54">
        <v>37</v>
      </c>
      <c r="G42" s="47"/>
      <c r="H42" s="45">
        <f>SUM(E42:G42)</f>
        <v>7352</v>
      </c>
      <c r="I42" s="2" t="s">
        <v>36</v>
      </c>
    </row>
    <row r="43" spans="2:9" x14ac:dyDescent="0.3">
      <c r="B43" s="17"/>
      <c r="C43" s="18"/>
      <c r="D43" s="19"/>
      <c r="E43" s="45"/>
      <c r="F43" s="45"/>
      <c r="G43" s="47"/>
      <c r="H43" s="45">
        <f>SUM(E43:G43)</f>
        <v>0</v>
      </c>
      <c r="I43" s="2"/>
    </row>
    <row r="44" spans="2:9" x14ac:dyDescent="0.3">
      <c r="B44" s="7"/>
      <c r="D44" s="10"/>
      <c r="E44" s="5">
        <f>SUM(E42:E43)</f>
        <v>7315</v>
      </c>
      <c r="F44" s="5">
        <f>SUM(F42:F43)</f>
        <v>37</v>
      </c>
      <c r="G44" s="49">
        <f>SUM(G42:G43)</f>
        <v>0</v>
      </c>
      <c r="H44" s="5">
        <f>SUBTOTAL(9,H42:H43)</f>
        <v>7352</v>
      </c>
      <c r="I44" s="2"/>
    </row>
    <row r="45" spans="2:9" x14ac:dyDescent="0.3">
      <c r="B45" s="44" t="s">
        <v>15</v>
      </c>
      <c r="D45" s="10"/>
      <c r="E45" s="5"/>
      <c r="F45" s="5"/>
      <c r="G45" s="12"/>
      <c r="H45" s="5"/>
      <c r="I45" s="2"/>
    </row>
    <row r="46" spans="2:9" x14ac:dyDescent="0.3">
      <c r="B46" s="17" t="s">
        <v>37</v>
      </c>
      <c r="C46" s="18"/>
      <c r="D46" s="19"/>
      <c r="E46" s="51">
        <v>1729.4</v>
      </c>
      <c r="F46" s="51">
        <f>+E46*0.16</f>
        <v>276.70400000000001</v>
      </c>
      <c r="G46" s="47"/>
      <c r="H46" s="45">
        <f>SUM(E46:G46)</f>
        <v>2006.104</v>
      </c>
      <c r="I46" s="2"/>
    </row>
    <row r="47" spans="2:9" x14ac:dyDescent="0.3">
      <c r="B47" s="7"/>
      <c r="D47" s="10"/>
      <c r="E47" s="5">
        <f>SUM(E46:E46)</f>
        <v>1729.4</v>
      </c>
      <c r="F47" s="5">
        <f>SUM(F46:F46)</f>
        <v>276.70400000000001</v>
      </c>
      <c r="G47" s="5">
        <f>SUM(G46:G46)</f>
        <v>0</v>
      </c>
      <c r="H47" s="5">
        <f>SUBTOTAL(9,H46:H46)</f>
        <v>2006.104</v>
      </c>
      <c r="I47" s="2"/>
    </row>
    <row r="48" spans="2:9" x14ac:dyDescent="0.3">
      <c r="B48" s="7"/>
      <c r="D48" s="10"/>
      <c r="E48" s="5"/>
      <c r="F48" s="5"/>
      <c r="G48" s="5"/>
      <c r="H48" s="5"/>
      <c r="I48" s="2"/>
    </row>
    <row r="49" spans="2:9" x14ac:dyDescent="0.3">
      <c r="B49" s="56" t="s">
        <v>33</v>
      </c>
      <c r="D49" s="10"/>
      <c r="E49" s="5"/>
      <c r="F49" s="5"/>
      <c r="G49" s="12"/>
      <c r="H49" s="5"/>
      <c r="I49" s="2"/>
    </row>
    <row r="50" spans="2:9" x14ac:dyDescent="0.3">
      <c r="B50" s="17" t="s">
        <v>38</v>
      </c>
      <c r="C50" s="18"/>
      <c r="D50" s="19"/>
      <c r="E50" s="51">
        <v>108320</v>
      </c>
      <c r="F50" s="51">
        <f>+E50*0.16</f>
        <v>17331.2</v>
      </c>
      <c r="G50" s="47"/>
      <c r="H50" s="45">
        <f>SUM(E50:G50)</f>
        <v>125651.2</v>
      </c>
      <c r="I50" s="2"/>
    </row>
    <row r="51" spans="2:9" x14ac:dyDescent="0.3">
      <c r="B51" s="7"/>
      <c r="D51" s="10"/>
      <c r="E51" s="5">
        <f>SUM(E50:E50)</f>
        <v>108320</v>
      </c>
      <c r="F51" s="5">
        <f>SUM(F50:F50)</f>
        <v>17331.2</v>
      </c>
      <c r="G51" s="5">
        <f>SUM(G50:G50)</f>
        <v>0</v>
      </c>
      <c r="H51" s="5">
        <f>SUBTOTAL(9,H50:H50)</f>
        <v>125651.2</v>
      </c>
      <c r="I51" s="2"/>
    </row>
    <row r="52" spans="2:9" x14ac:dyDescent="0.3">
      <c r="B52" s="7"/>
      <c r="D52" s="10"/>
      <c r="E52" s="5"/>
      <c r="F52" s="5"/>
      <c r="G52" s="5"/>
      <c r="H52" s="5"/>
      <c r="I52" s="2"/>
    </row>
    <row r="53" spans="2:9" x14ac:dyDescent="0.3">
      <c r="B53" s="44" t="s">
        <v>15</v>
      </c>
      <c r="D53" s="10"/>
      <c r="E53" s="5"/>
      <c r="F53" s="5"/>
      <c r="G53" s="12"/>
      <c r="H53" s="5"/>
      <c r="I53" s="2"/>
    </row>
    <row r="54" spans="2:9" x14ac:dyDescent="0.3">
      <c r="B54" s="17" t="s">
        <v>14</v>
      </c>
      <c r="C54" s="18">
        <v>18</v>
      </c>
      <c r="D54" s="19">
        <f>+E54/C54</f>
        <v>307.12</v>
      </c>
      <c r="E54" s="50">
        <v>5528.16</v>
      </c>
      <c r="F54" s="51">
        <f>ROUND((+E54*99.5194341117841%*0.48056588821596%),0)+982*0</f>
        <v>26</v>
      </c>
      <c r="G54" s="20"/>
      <c r="H54" s="19">
        <f>SUM(E54:G54)</f>
        <v>5554.16</v>
      </c>
      <c r="I54" s="2" t="s">
        <v>36</v>
      </c>
    </row>
    <row r="55" spans="2:9" x14ac:dyDescent="0.3">
      <c r="B55" s="18"/>
      <c r="C55" s="18"/>
      <c r="D55" s="19"/>
      <c r="E55" s="19"/>
      <c r="F55" s="19">
        <f t="shared" ref="F55" si="6">+E55*0.05</f>
        <v>0</v>
      </c>
      <c r="G55" s="20">
        <v>0</v>
      </c>
      <c r="H55" s="19">
        <f>SUM(E55:G55)</f>
        <v>0</v>
      </c>
      <c r="I55" s="2"/>
    </row>
    <row r="56" spans="2:9" x14ac:dyDescent="0.3">
      <c r="B56" s="7"/>
      <c r="D56" s="10"/>
      <c r="E56" s="5">
        <f>SUBTOTAL(9,E54:E55)</f>
        <v>5528.16</v>
      </c>
      <c r="F56" s="5">
        <f>SUBTOTAL(9,F54:F55)</f>
        <v>26</v>
      </c>
      <c r="G56" s="12">
        <f>SUBTOTAL(9,G54:G55)</f>
        <v>0</v>
      </c>
      <c r="H56" s="5">
        <f>SUBTOTAL(9,H54:H55)</f>
        <v>5554.16</v>
      </c>
      <c r="I56" s="2"/>
    </row>
    <row r="57" spans="2:9" x14ac:dyDescent="0.3">
      <c r="B57" s="44" t="s">
        <v>15</v>
      </c>
      <c r="D57" s="10"/>
      <c r="E57" s="5"/>
      <c r="F57" s="5"/>
      <c r="G57" s="12"/>
      <c r="H57" s="5"/>
      <c r="I57" s="2"/>
    </row>
    <row r="58" spans="2:9" x14ac:dyDescent="0.3">
      <c r="B58" s="17" t="s">
        <v>12</v>
      </c>
      <c r="C58" s="18">
        <v>49.3</v>
      </c>
      <c r="D58" s="19">
        <f>+E58/C58</f>
        <v>306.75720081135904</v>
      </c>
      <c r="E58" s="50">
        <v>15123.13</v>
      </c>
      <c r="F58" s="51">
        <v>76</v>
      </c>
      <c r="G58" s="47">
        <v>0</v>
      </c>
      <c r="H58" s="19">
        <f>SUM(E58:G58)</f>
        <v>15199.13</v>
      </c>
      <c r="I58" s="2"/>
    </row>
    <row r="59" spans="2:9" x14ac:dyDescent="0.3">
      <c r="B59" s="21"/>
      <c r="C59" s="18"/>
      <c r="D59" s="19"/>
      <c r="E59" s="19"/>
      <c r="F59" s="19"/>
      <c r="G59" s="20"/>
      <c r="H59" s="19">
        <f>SUM(E59:G59)</f>
        <v>0</v>
      </c>
      <c r="I59" s="2"/>
    </row>
    <row r="60" spans="2:9" x14ac:dyDescent="0.3">
      <c r="B60" s="11"/>
      <c r="D60" s="10"/>
      <c r="E60" s="5">
        <f>SUBTOTAL(9,E58:E59)</f>
        <v>15123.13</v>
      </c>
      <c r="F60" s="5">
        <f>SUBTOTAL(9,F58:F59)</f>
        <v>76</v>
      </c>
      <c r="G60" s="12">
        <f>SUBTOTAL(9,G58:G59)</f>
        <v>0</v>
      </c>
      <c r="H60" s="46">
        <f>SUBTOTAL(9,H58:H59)</f>
        <v>15199.13</v>
      </c>
      <c r="I60" s="2"/>
    </row>
    <row r="61" spans="2:9" x14ac:dyDescent="0.3">
      <c r="B61" s="44" t="s">
        <v>15</v>
      </c>
      <c r="D61" s="10"/>
      <c r="E61" s="5"/>
      <c r="F61" s="5"/>
      <c r="G61" s="12"/>
      <c r="H61" s="5"/>
      <c r="I61" s="2"/>
    </row>
    <row r="62" spans="2:9" x14ac:dyDescent="0.3">
      <c r="B62" s="17" t="s">
        <v>24</v>
      </c>
      <c r="C62" s="19"/>
      <c r="D62" s="19"/>
      <c r="E62" s="50">
        <v>250</v>
      </c>
      <c r="F62" s="19">
        <v>0</v>
      </c>
      <c r="G62" s="20">
        <v>0</v>
      </c>
      <c r="H62" s="19">
        <f t="shared" ref="H62:H64" si="7">SUM(E62:G62)</f>
        <v>250</v>
      </c>
      <c r="I62" s="2"/>
    </row>
    <row r="63" spans="2:9" x14ac:dyDescent="0.3">
      <c r="B63" s="17" t="s">
        <v>10</v>
      </c>
      <c r="C63" s="19"/>
      <c r="D63" s="19"/>
      <c r="E63" s="50">
        <v>40</v>
      </c>
      <c r="F63" s="19">
        <v>0</v>
      </c>
      <c r="G63" s="20">
        <v>0</v>
      </c>
      <c r="H63" s="19">
        <f t="shared" si="7"/>
        <v>40</v>
      </c>
      <c r="I63" s="2"/>
    </row>
    <row r="64" spans="2:9" x14ac:dyDescent="0.3">
      <c r="B64" s="21"/>
      <c r="C64" s="18"/>
      <c r="D64" s="19"/>
      <c r="E64" s="19"/>
      <c r="F64" s="19">
        <v>0</v>
      </c>
      <c r="G64" s="20">
        <v>0</v>
      </c>
      <c r="H64" s="19">
        <f t="shared" si="7"/>
        <v>0</v>
      </c>
      <c r="I64" s="2"/>
    </row>
    <row r="65" spans="2:9" x14ac:dyDescent="0.3">
      <c r="B65" s="7"/>
      <c r="D65" s="10"/>
      <c r="E65" s="5">
        <f>SUBTOTAL(9,E62:E64)</f>
        <v>290</v>
      </c>
      <c r="F65" s="5">
        <f>SUBTOTAL(9,F62:F64)</f>
        <v>0</v>
      </c>
      <c r="G65" s="12">
        <f>SUBTOTAL(9,G62:G64)</f>
        <v>0</v>
      </c>
      <c r="H65" s="5">
        <f>SUBTOTAL(9,H62:H64)</f>
        <v>290</v>
      </c>
      <c r="I65" s="2"/>
    </row>
    <row r="66" spans="2:9" x14ac:dyDescent="0.3">
      <c r="B66" s="11" t="s">
        <v>9</v>
      </c>
      <c r="D66" s="10"/>
      <c r="E66" s="5"/>
      <c r="F66" s="5"/>
      <c r="G66" s="12"/>
      <c r="H66" s="5"/>
      <c r="I66" s="2"/>
    </row>
    <row r="67" spans="2:9" x14ac:dyDescent="0.3">
      <c r="B67" s="17" t="s">
        <v>11</v>
      </c>
      <c r="C67" s="19"/>
      <c r="D67" s="19"/>
      <c r="E67" s="50">
        <v>1155</v>
      </c>
      <c r="F67" s="50">
        <v>0</v>
      </c>
      <c r="G67" s="20">
        <v>0</v>
      </c>
      <c r="H67" s="19">
        <f t="shared" ref="H67" si="8">SUM(E67:G67)</f>
        <v>1155</v>
      </c>
      <c r="I67" s="2"/>
    </row>
    <row r="68" spans="2:9" x14ac:dyDescent="0.3">
      <c r="B68" s="7"/>
      <c r="D68" s="10"/>
      <c r="E68" s="5">
        <f>SUM(E67:E67)</f>
        <v>1155</v>
      </c>
      <c r="F68" s="5">
        <f>SUM(F67:F67)</f>
        <v>0</v>
      </c>
      <c r="G68" s="12">
        <f>SUBTOTAL(9,G67:G67)</f>
        <v>0</v>
      </c>
      <c r="H68" s="5">
        <f>SUBTOTAL(9,H67:H67)</f>
        <v>1155</v>
      </c>
      <c r="I68" s="2"/>
    </row>
    <row r="69" spans="2:9" x14ac:dyDescent="0.3">
      <c r="B69" s="44" t="s">
        <v>15</v>
      </c>
      <c r="D69" s="10"/>
      <c r="E69" s="5"/>
      <c r="F69" s="5"/>
      <c r="G69" s="12"/>
      <c r="H69" s="5"/>
      <c r="I69" s="2"/>
    </row>
    <row r="70" spans="2:9" x14ac:dyDescent="0.3">
      <c r="B70" s="17" t="s">
        <v>26</v>
      </c>
      <c r="C70" s="19"/>
      <c r="D70" s="19"/>
      <c r="E70" s="50">
        <v>2800</v>
      </c>
      <c r="F70" s="50">
        <v>0</v>
      </c>
      <c r="G70" s="19">
        <v>104.95</v>
      </c>
      <c r="H70" s="19">
        <f>SUM(E70:G70)</f>
        <v>2904.95</v>
      </c>
      <c r="I70" s="2" t="s">
        <v>36</v>
      </c>
    </row>
    <row r="71" spans="2:9" x14ac:dyDescent="0.3">
      <c r="B71" s="17" t="s">
        <v>26</v>
      </c>
      <c r="C71" s="19"/>
      <c r="D71" s="19"/>
      <c r="E71" s="50">
        <v>6499</v>
      </c>
      <c r="F71" s="50">
        <v>0</v>
      </c>
      <c r="G71" s="19"/>
      <c r="H71" s="19">
        <f>SUM(E71:G71)</f>
        <v>6499</v>
      </c>
      <c r="I71" s="2" t="s">
        <v>36</v>
      </c>
    </row>
    <row r="72" spans="2:9" x14ac:dyDescent="0.3">
      <c r="B72" s="7"/>
      <c r="D72" s="10"/>
      <c r="E72" s="5">
        <f>SUM(E71:E71)</f>
        <v>6499</v>
      </c>
      <c r="F72" s="5">
        <f>SUM(F71:F71)</f>
        <v>0</v>
      </c>
      <c r="G72" s="12">
        <f>SUBTOTAL(9,G71:G71)</f>
        <v>0</v>
      </c>
      <c r="H72" s="5">
        <f>SUBTOTAL(9,H71:H71)</f>
        <v>6499</v>
      </c>
      <c r="I72" s="2"/>
    </row>
    <row r="73" spans="2:9" x14ac:dyDescent="0.3">
      <c r="B73" s="7"/>
      <c r="D73" s="10"/>
      <c r="E73" s="10"/>
      <c r="F73" s="10">
        <v>0</v>
      </c>
      <c r="G73" s="16"/>
      <c r="H73" s="10">
        <f>SUM(E73:G73)</f>
        <v>0</v>
      </c>
      <c r="I73" s="2"/>
    </row>
    <row r="74" spans="2:9" x14ac:dyDescent="0.3">
      <c r="B74" s="7"/>
      <c r="D74" s="10"/>
      <c r="E74" s="5">
        <f>SUBTOTAL(9,E73:E73)</f>
        <v>0</v>
      </c>
      <c r="F74" s="5">
        <f>SUBTOTAL(9,F73:F73)</f>
        <v>0</v>
      </c>
      <c r="G74" s="12">
        <f>SUBTOTAL(9,G73:G73)</f>
        <v>0</v>
      </c>
      <c r="H74" s="5">
        <f>SUBTOTAL(9,H73:H73)</f>
        <v>0</v>
      </c>
      <c r="I74" s="2"/>
    </row>
    <row r="75" spans="2:9" x14ac:dyDescent="0.3">
      <c r="D75" s="4"/>
      <c r="E75" s="6">
        <f>SUM(E72+E68+E65+E60+E56+E47+E40+E36+E28+E23+E18+E14+E7)</f>
        <v>461684.03</v>
      </c>
      <c r="F75" s="6">
        <f>SUM(F72+F68+F65+F60+F56+F47+F40+F36+F28+F23+F18+F14+F7)</f>
        <v>1809.704</v>
      </c>
      <c r="G75" s="37">
        <f>SUM(G72+G68+G65+G60+G56+G47+G40+G36+G28+G23+G18+G14+G7)</f>
        <v>1474.1479999999999</v>
      </c>
      <c r="H75" s="6">
        <f>SUM(H72+H68+H65+H60+H56+H47+H40+H36+H28+H23+H18+H14+H7+H44+H32)</f>
        <v>484047.70199999999</v>
      </c>
      <c r="I75" s="13"/>
    </row>
    <row r="76" spans="2:9" x14ac:dyDescent="0.3">
      <c r="D76" s="4"/>
      <c r="E76" s="4"/>
      <c r="F76" s="4"/>
      <c r="G76" s="9"/>
      <c r="H76" s="4">
        <v>-428273.7</v>
      </c>
    </row>
    <row r="77" spans="2:9" x14ac:dyDescent="0.3">
      <c r="D77" s="4"/>
      <c r="E77" s="4"/>
      <c r="F77" s="4"/>
      <c r="G77" s="9"/>
      <c r="H77" s="4">
        <f>SUM(H75:H76)</f>
        <v>55774.001999999979</v>
      </c>
    </row>
    <row r="78" spans="2:9" x14ac:dyDescent="0.3">
      <c r="D78" s="4"/>
      <c r="E78" s="4"/>
      <c r="F78" s="4"/>
      <c r="G78" s="9"/>
      <c r="H78" s="4"/>
    </row>
    <row r="79" spans="2:9" x14ac:dyDescent="0.3">
      <c r="D79" s="4"/>
      <c r="E79" s="4"/>
      <c r="F79" s="4"/>
      <c r="G79" s="9"/>
      <c r="H79" s="4"/>
    </row>
    <row r="80" spans="2:9" x14ac:dyDescent="0.3">
      <c r="B80" s="14"/>
      <c r="C80" s="14"/>
      <c r="D80" s="42"/>
      <c r="E80" s="42"/>
      <c r="F80" s="42"/>
      <c r="G80" s="15"/>
      <c r="H80" s="42"/>
    </row>
    <row r="81" spans="2:9" ht="15.6" x14ac:dyDescent="0.3">
      <c r="B81" s="63" t="s">
        <v>35</v>
      </c>
      <c r="C81" s="63"/>
      <c r="D81" s="63"/>
      <c r="E81" s="63"/>
      <c r="F81" s="63"/>
      <c r="G81" s="63"/>
      <c r="H81" s="63"/>
    </row>
    <row r="82" spans="2:9" x14ac:dyDescent="0.3">
      <c r="G82" s="9"/>
    </row>
    <row r="83" spans="2:9" x14ac:dyDescent="0.3">
      <c r="G83" s="9"/>
    </row>
    <row r="84" spans="2:9" ht="15.6" x14ac:dyDescent="0.3">
      <c r="B84" s="61" t="s">
        <v>17</v>
      </c>
      <c r="C84" s="61"/>
      <c r="D84" s="61"/>
      <c r="E84" s="61"/>
      <c r="F84" s="61"/>
      <c r="G84" s="61"/>
      <c r="H84" s="61"/>
      <c r="I84" s="61"/>
    </row>
    <row r="85" spans="2:9" x14ac:dyDescent="0.35">
      <c r="B85" s="55"/>
      <c r="C85" s="64" t="s">
        <v>20</v>
      </c>
      <c r="D85" s="65"/>
      <c r="E85" s="27" t="s">
        <v>21</v>
      </c>
      <c r="F85" s="55"/>
      <c r="G85" s="55"/>
      <c r="H85" s="55"/>
      <c r="I85" s="55"/>
    </row>
    <row r="86" spans="2:9" x14ac:dyDescent="0.3">
      <c r="C86" s="58" t="s">
        <v>15</v>
      </c>
      <c r="D86" s="58"/>
      <c r="E86" s="24">
        <v>364679</v>
      </c>
      <c r="G86" s="9"/>
    </row>
    <row r="87" spans="2:9" x14ac:dyDescent="0.3">
      <c r="C87" s="58" t="s">
        <v>32</v>
      </c>
      <c r="D87" s="58"/>
      <c r="E87" s="24">
        <v>46182</v>
      </c>
      <c r="G87" s="9"/>
    </row>
    <row r="88" spans="2:9" x14ac:dyDescent="0.3">
      <c r="C88" s="59" t="s">
        <v>18</v>
      </c>
      <c r="D88" s="59"/>
      <c r="E88" s="25">
        <v>16258</v>
      </c>
      <c r="G88" s="9"/>
    </row>
    <row r="89" spans="2:9" x14ac:dyDescent="0.3">
      <c r="C89" s="60" t="s">
        <v>19</v>
      </c>
      <c r="D89" s="60"/>
      <c r="E89" s="26">
        <f>H67</f>
        <v>1155</v>
      </c>
      <c r="G89" s="9"/>
    </row>
    <row r="90" spans="2:9" ht="15" thickBot="1" x14ac:dyDescent="0.35">
      <c r="D90" s="23" t="s">
        <v>22</v>
      </c>
      <c r="E90" s="28">
        <f>SUM(E86:E89)</f>
        <v>428274</v>
      </c>
      <c r="G90" s="9"/>
    </row>
    <row r="91" spans="2:9" ht="15" thickTop="1" x14ac:dyDescent="0.3">
      <c r="G91" s="9"/>
    </row>
    <row r="92" spans="2:9" x14ac:dyDescent="0.3">
      <c r="G92" s="9"/>
    </row>
    <row r="93" spans="2:9" x14ac:dyDescent="0.3">
      <c r="G93" s="9"/>
    </row>
    <row r="94" spans="2:9" x14ac:dyDescent="0.3">
      <c r="G94" s="9"/>
    </row>
    <row r="95" spans="2:9" x14ac:dyDescent="0.3">
      <c r="G95" s="9"/>
    </row>
    <row r="96" spans="2:9" x14ac:dyDescent="0.3">
      <c r="G96" s="9"/>
    </row>
    <row r="97" spans="7:7" x14ac:dyDescent="0.3">
      <c r="G97" s="9"/>
    </row>
    <row r="98" spans="7:7" x14ac:dyDescent="0.3">
      <c r="G98" s="9"/>
    </row>
    <row r="99" spans="7:7" x14ac:dyDescent="0.3">
      <c r="G99" s="9"/>
    </row>
    <row r="100" spans="7:7" x14ac:dyDescent="0.3">
      <c r="G100" s="9"/>
    </row>
    <row r="101" spans="7:7" x14ac:dyDescent="0.3">
      <c r="G101" s="9"/>
    </row>
    <row r="102" spans="7:7" x14ac:dyDescent="0.3">
      <c r="G102" s="9"/>
    </row>
    <row r="103" spans="7:7" x14ac:dyDescent="0.3">
      <c r="G103" s="9"/>
    </row>
    <row r="104" spans="7:7" x14ac:dyDescent="0.3">
      <c r="G104" s="9"/>
    </row>
    <row r="105" spans="7:7" x14ac:dyDescent="0.3">
      <c r="G105" s="9"/>
    </row>
    <row r="106" spans="7:7" x14ac:dyDescent="0.3">
      <c r="G106" s="9"/>
    </row>
    <row r="107" spans="7:7" x14ac:dyDescent="0.3">
      <c r="G107" s="9"/>
    </row>
    <row r="108" spans="7:7" x14ac:dyDescent="0.3">
      <c r="G108" s="9"/>
    </row>
    <row r="109" spans="7:7" x14ac:dyDescent="0.3">
      <c r="G109" s="9"/>
    </row>
    <row r="110" spans="7:7" x14ac:dyDescent="0.3">
      <c r="G110" s="9"/>
    </row>
    <row r="111" spans="7:7" x14ac:dyDescent="0.3">
      <c r="G111" s="9"/>
    </row>
    <row r="112" spans="7:7" x14ac:dyDescent="0.3">
      <c r="G112" s="9"/>
    </row>
    <row r="113" spans="7:7" x14ac:dyDescent="0.3">
      <c r="G113" s="9"/>
    </row>
    <row r="114" spans="7:7" x14ac:dyDescent="0.3">
      <c r="G114" s="9"/>
    </row>
    <row r="115" spans="7:7" x14ac:dyDescent="0.3">
      <c r="G115" s="9"/>
    </row>
    <row r="116" spans="7:7" x14ac:dyDescent="0.3">
      <c r="G116" s="9"/>
    </row>
    <row r="117" spans="7:7" x14ac:dyDescent="0.3">
      <c r="G117" s="9"/>
    </row>
    <row r="118" spans="7:7" x14ac:dyDescent="0.3">
      <c r="G118" s="9"/>
    </row>
    <row r="119" spans="7:7" x14ac:dyDescent="0.3">
      <c r="G119" s="9"/>
    </row>
    <row r="120" spans="7:7" x14ac:dyDescent="0.3">
      <c r="G120" s="9"/>
    </row>
    <row r="121" spans="7:7" x14ac:dyDescent="0.3">
      <c r="G121" s="9"/>
    </row>
    <row r="122" spans="7:7" x14ac:dyDescent="0.3">
      <c r="G122" s="9"/>
    </row>
    <row r="123" spans="7:7" x14ac:dyDescent="0.3">
      <c r="G123" s="9"/>
    </row>
    <row r="124" spans="7:7" x14ac:dyDescent="0.3">
      <c r="G124" s="9"/>
    </row>
    <row r="125" spans="7:7" x14ac:dyDescent="0.3">
      <c r="G125" s="9"/>
    </row>
    <row r="126" spans="7:7" x14ac:dyDescent="0.3">
      <c r="G126" s="9"/>
    </row>
    <row r="127" spans="7:7" x14ac:dyDescent="0.3">
      <c r="G127" s="9"/>
    </row>
    <row r="128" spans="7:7" x14ac:dyDescent="0.3">
      <c r="G128" s="9"/>
    </row>
    <row r="129" spans="7:7" x14ac:dyDescent="0.3">
      <c r="G129" s="9"/>
    </row>
    <row r="130" spans="7:7" x14ac:dyDescent="0.3">
      <c r="G130" s="9"/>
    </row>
    <row r="131" spans="7:7" x14ac:dyDescent="0.3">
      <c r="G131" s="9"/>
    </row>
    <row r="132" spans="7:7" x14ac:dyDescent="0.3">
      <c r="G132" s="9"/>
    </row>
    <row r="133" spans="7:7" x14ac:dyDescent="0.3">
      <c r="G133" s="9"/>
    </row>
    <row r="134" spans="7:7" x14ac:dyDescent="0.3">
      <c r="G134" s="9"/>
    </row>
    <row r="135" spans="7:7" x14ac:dyDescent="0.3">
      <c r="G135" s="9"/>
    </row>
    <row r="136" spans="7:7" x14ac:dyDescent="0.3">
      <c r="G136" s="9"/>
    </row>
    <row r="137" spans="7:7" x14ac:dyDescent="0.3">
      <c r="G137" s="9"/>
    </row>
    <row r="138" spans="7:7" x14ac:dyDescent="0.3">
      <c r="G138" s="9"/>
    </row>
    <row r="139" spans="7:7" x14ac:dyDescent="0.3">
      <c r="G139" s="9"/>
    </row>
    <row r="140" spans="7:7" x14ac:dyDescent="0.3">
      <c r="G140" s="9"/>
    </row>
    <row r="141" spans="7:7" x14ac:dyDescent="0.3">
      <c r="G141" s="9"/>
    </row>
    <row r="142" spans="7:7" x14ac:dyDescent="0.3">
      <c r="G142" s="9"/>
    </row>
    <row r="143" spans="7:7" x14ac:dyDescent="0.3">
      <c r="G143" s="9"/>
    </row>
    <row r="144" spans="7:7" x14ac:dyDescent="0.3">
      <c r="G144" s="9"/>
    </row>
    <row r="145" spans="7:7" x14ac:dyDescent="0.3">
      <c r="G145" s="9"/>
    </row>
    <row r="146" spans="7:7" x14ac:dyDescent="0.3">
      <c r="G146" s="9"/>
    </row>
    <row r="147" spans="7:7" x14ac:dyDescent="0.3">
      <c r="G147" s="9"/>
    </row>
    <row r="148" spans="7:7" x14ac:dyDescent="0.3">
      <c r="G148" s="9"/>
    </row>
    <row r="149" spans="7:7" x14ac:dyDescent="0.3">
      <c r="G149" s="9"/>
    </row>
    <row r="150" spans="7:7" x14ac:dyDescent="0.3">
      <c r="G150" s="9"/>
    </row>
    <row r="151" spans="7:7" x14ac:dyDescent="0.3">
      <c r="G151" s="9"/>
    </row>
    <row r="152" spans="7:7" x14ac:dyDescent="0.3">
      <c r="G152" s="9"/>
    </row>
    <row r="153" spans="7:7" x14ac:dyDescent="0.3">
      <c r="G153" s="9"/>
    </row>
    <row r="154" spans="7:7" x14ac:dyDescent="0.3">
      <c r="G154" s="9"/>
    </row>
    <row r="155" spans="7:7" x14ac:dyDescent="0.3">
      <c r="G155" s="9"/>
    </row>
    <row r="156" spans="7:7" x14ac:dyDescent="0.3">
      <c r="G156" s="9"/>
    </row>
    <row r="157" spans="7:7" x14ac:dyDescent="0.3">
      <c r="G157" s="9"/>
    </row>
    <row r="158" spans="7:7" x14ac:dyDescent="0.3">
      <c r="G158" s="9"/>
    </row>
    <row r="159" spans="7:7" x14ac:dyDescent="0.3">
      <c r="G159" s="9"/>
    </row>
    <row r="160" spans="7:7" x14ac:dyDescent="0.3">
      <c r="G160" s="9"/>
    </row>
    <row r="161" spans="7:7" x14ac:dyDescent="0.3">
      <c r="G161" s="9"/>
    </row>
    <row r="162" spans="7:7" x14ac:dyDescent="0.3">
      <c r="G162" s="9"/>
    </row>
    <row r="163" spans="7:7" x14ac:dyDescent="0.3">
      <c r="G163" s="9"/>
    </row>
    <row r="164" spans="7:7" x14ac:dyDescent="0.3">
      <c r="G164" s="9"/>
    </row>
    <row r="165" spans="7:7" x14ac:dyDescent="0.3">
      <c r="G165" s="9"/>
    </row>
    <row r="166" spans="7:7" x14ac:dyDescent="0.3">
      <c r="G166" s="9"/>
    </row>
    <row r="167" spans="7:7" x14ac:dyDescent="0.3">
      <c r="G167" s="9"/>
    </row>
    <row r="168" spans="7:7" x14ac:dyDescent="0.3">
      <c r="G168" s="9"/>
    </row>
    <row r="169" spans="7:7" x14ac:dyDescent="0.3">
      <c r="G169" s="9"/>
    </row>
    <row r="170" spans="7:7" x14ac:dyDescent="0.3">
      <c r="G170" s="9"/>
    </row>
    <row r="171" spans="7:7" x14ac:dyDescent="0.3">
      <c r="G171" s="9"/>
    </row>
    <row r="172" spans="7:7" x14ac:dyDescent="0.3">
      <c r="G172" s="9"/>
    </row>
    <row r="173" spans="7:7" x14ac:dyDescent="0.3">
      <c r="G173" s="9"/>
    </row>
    <row r="174" spans="7:7" x14ac:dyDescent="0.3">
      <c r="G174" s="9"/>
    </row>
    <row r="175" spans="7:7" x14ac:dyDescent="0.3">
      <c r="G175" s="9"/>
    </row>
    <row r="176" spans="7:7" x14ac:dyDescent="0.3">
      <c r="G176" s="9"/>
    </row>
    <row r="177" spans="7:7" x14ac:dyDescent="0.3">
      <c r="G177" s="9"/>
    </row>
    <row r="178" spans="7:7" x14ac:dyDescent="0.3">
      <c r="G178" s="9"/>
    </row>
    <row r="179" spans="7:7" x14ac:dyDescent="0.3">
      <c r="G179" s="9"/>
    </row>
    <row r="180" spans="7:7" x14ac:dyDescent="0.3">
      <c r="G180" s="9"/>
    </row>
    <row r="181" spans="7:7" x14ac:dyDescent="0.3">
      <c r="G181" s="9"/>
    </row>
    <row r="182" spans="7:7" x14ac:dyDescent="0.3">
      <c r="G182" s="9"/>
    </row>
    <row r="183" spans="7:7" x14ac:dyDescent="0.3">
      <c r="G183" s="9"/>
    </row>
    <row r="184" spans="7:7" x14ac:dyDescent="0.3">
      <c r="G184" s="9"/>
    </row>
    <row r="185" spans="7:7" x14ac:dyDescent="0.3">
      <c r="G185" s="9"/>
    </row>
    <row r="186" spans="7:7" x14ac:dyDescent="0.3">
      <c r="G186" s="9"/>
    </row>
    <row r="187" spans="7:7" x14ac:dyDescent="0.3">
      <c r="G187" s="9"/>
    </row>
    <row r="188" spans="7:7" x14ac:dyDescent="0.3">
      <c r="G188" s="9"/>
    </row>
    <row r="189" spans="7:7" x14ac:dyDescent="0.3">
      <c r="G189" s="9"/>
    </row>
    <row r="190" spans="7:7" x14ac:dyDescent="0.3">
      <c r="G190" s="9"/>
    </row>
    <row r="191" spans="7:7" x14ac:dyDescent="0.3">
      <c r="G191" s="9"/>
    </row>
    <row r="192" spans="7:7" x14ac:dyDescent="0.3">
      <c r="G192" s="9"/>
    </row>
    <row r="193" spans="7:7" x14ac:dyDescent="0.3">
      <c r="G193" s="9"/>
    </row>
    <row r="194" spans="7:7" x14ac:dyDescent="0.3">
      <c r="G194" s="9"/>
    </row>
    <row r="195" spans="7:7" x14ac:dyDescent="0.3">
      <c r="G195" s="9"/>
    </row>
    <row r="196" spans="7:7" x14ac:dyDescent="0.3">
      <c r="G196" s="9"/>
    </row>
    <row r="197" spans="7:7" x14ac:dyDescent="0.3">
      <c r="G197" s="9"/>
    </row>
    <row r="198" spans="7:7" x14ac:dyDescent="0.3">
      <c r="G198" s="9"/>
    </row>
    <row r="199" spans="7:7" x14ac:dyDescent="0.3">
      <c r="G199" s="9"/>
    </row>
    <row r="200" spans="7:7" x14ac:dyDescent="0.3">
      <c r="G200" s="9"/>
    </row>
    <row r="201" spans="7:7" x14ac:dyDescent="0.3">
      <c r="G201" s="9"/>
    </row>
    <row r="202" spans="7:7" x14ac:dyDescent="0.3">
      <c r="G202" s="9"/>
    </row>
    <row r="203" spans="7:7" x14ac:dyDescent="0.3">
      <c r="G203" s="9"/>
    </row>
    <row r="204" spans="7:7" x14ac:dyDescent="0.3">
      <c r="G204" s="9"/>
    </row>
    <row r="205" spans="7:7" x14ac:dyDescent="0.3">
      <c r="G205" s="9"/>
    </row>
    <row r="206" spans="7:7" x14ac:dyDescent="0.3">
      <c r="G206" s="9"/>
    </row>
    <row r="207" spans="7:7" x14ac:dyDescent="0.3">
      <c r="G207" s="9"/>
    </row>
    <row r="208" spans="7:7" x14ac:dyDescent="0.3">
      <c r="G208" s="9"/>
    </row>
    <row r="209" spans="7:7" x14ac:dyDescent="0.3">
      <c r="G209" s="9"/>
    </row>
    <row r="210" spans="7:7" x14ac:dyDescent="0.3">
      <c r="G210" s="9"/>
    </row>
    <row r="211" spans="7:7" x14ac:dyDescent="0.3">
      <c r="G211" s="9"/>
    </row>
    <row r="212" spans="7:7" x14ac:dyDescent="0.3">
      <c r="G212" s="9"/>
    </row>
    <row r="213" spans="7:7" x14ac:dyDescent="0.3">
      <c r="G213" s="9"/>
    </row>
    <row r="214" spans="7:7" x14ac:dyDescent="0.3">
      <c r="G214" s="9"/>
    </row>
    <row r="215" spans="7:7" x14ac:dyDescent="0.3">
      <c r="G215" s="9"/>
    </row>
    <row r="216" spans="7:7" x14ac:dyDescent="0.3">
      <c r="G216" s="9"/>
    </row>
    <row r="217" spans="7:7" x14ac:dyDescent="0.3">
      <c r="G217" s="9"/>
    </row>
    <row r="218" spans="7:7" x14ac:dyDescent="0.3">
      <c r="G218" s="9"/>
    </row>
    <row r="219" spans="7:7" x14ac:dyDescent="0.3">
      <c r="G219" s="9"/>
    </row>
    <row r="220" spans="7:7" x14ac:dyDescent="0.3">
      <c r="G220" s="9"/>
    </row>
    <row r="221" spans="7:7" x14ac:dyDescent="0.3">
      <c r="G221" s="9"/>
    </row>
    <row r="222" spans="7:7" x14ac:dyDescent="0.3">
      <c r="G222" s="9"/>
    </row>
    <row r="223" spans="7:7" x14ac:dyDescent="0.3">
      <c r="G223" s="9"/>
    </row>
    <row r="224" spans="7:7" x14ac:dyDescent="0.3">
      <c r="G224" s="9"/>
    </row>
    <row r="225" spans="7:7" x14ac:dyDescent="0.3">
      <c r="G225" s="9"/>
    </row>
    <row r="226" spans="7:7" x14ac:dyDescent="0.3">
      <c r="G226" s="9"/>
    </row>
    <row r="227" spans="7:7" x14ac:dyDescent="0.3">
      <c r="G227" s="9"/>
    </row>
    <row r="228" spans="7:7" x14ac:dyDescent="0.3">
      <c r="G228" s="9"/>
    </row>
    <row r="229" spans="7:7" x14ac:dyDescent="0.3">
      <c r="G229" s="9"/>
    </row>
    <row r="230" spans="7:7" x14ac:dyDescent="0.3">
      <c r="G230" s="9"/>
    </row>
    <row r="231" spans="7:7" x14ac:dyDescent="0.3">
      <c r="G231" s="9"/>
    </row>
    <row r="232" spans="7:7" x14ac:dyDescent="0.3">
      <c r="G232" s="9"/>
    </row>
    <row r="233" spans="7:7" x14ac:dyDescent="0.3">
      <c r="G233" s="9"/>
    </row>
    <row r="234" spans="7:7" x14ac:dyDescent="0.3">
      <c r="G234" s="9"/>
    </row>
    <row r="235" spans="7:7" x14ac:dyDescent="0.3">
      <c r="G235" s="9"/>
    </row>
    <row r="236" spans="7:7" x14ac:dyDescent="0.3">
      <c r="G236" s="9"/>
    </row>
    <row r="237" spans="7:7" x14ac:dyDescent="0.3">
      <c r="G237" s="9"/>
    </row>
    <row r="238" spans="7:7" x14ac:dyDescent="0.3">
      <c r="G238" s="9"/>
    </row>
    <row r="239" spans="7:7" x14ac:dyDescent="0.3">
      <c r="G239" s="9"/>
    </row>
    <row r="240" spans="7:7" x14ac:dyDescent="0.3">
      <c r="G240" s="9"/>
    </row>
    <row r="241" spans="7:7" x14ac:dyDescent="0.3">
      <c r="G241" s="9"/>
    </row>
    <row r="242" spans="7:7" x14ac:dyDescent="0.3">
      <c r="G242" s="9"/>
    </row>
    <row r="243" spans="7:7" x14ac:dyDescent="0.3">
      <c r="G243" s="9"/>
    </row>
    <row r="244" spans="7:7" x14ac:dyDescent="0.3">
      <c r="G244" s="9"/>
    </row>
    <row r="245" spans="7:7" x14ac:dyDescent="0.3">
      <c r="G245" s="9"/>
    </row>
    <row r="246" spans="7:7" x14ac:dyDescent="0.3">
      <c r="G246" s="9"/>
    </row>
    <row r="247" spans="7:7" x14ac:dyDescent="0.3">
      <c r="G247" s="9"/>
    </row>
    <row r="248" spans="7:7" x14ac:dyDescent="0.3">
      <c r="G248" s="9"/>
    </row>
    <row r="249" spans="7:7" x14ac:dyDescent="0.3">
      <c r="G249" s="9"/>
    </row>
    <row r="250" spans="7:7" x14ac:dyDescent="0.3">
      <c r="G250" s="9"/>
    </row>
    <row r="251" spans="7:7" x14ac:dyDescent="0.3">
      <c r="G251" s="9"/>
    </row>
    <row r="252" spans="7:7" x14ac:dyDescent="0.3">
      <c r="G252" s="9"/>
    </row>
    <row r="253" spans="7:7" x14ac:dyDescent="0.3">
      <c r="G253" s="9"/>
    </row>
    <row r="254" spans="7:7" x14ac:dyDescent="0.3">
      <c r="G254" s="9"/>
    </row>
    <row r="255" spans="7:7" x14ac:dyDescent="0.3">
      <c r="G255" s="9"/>
    </row>
    <row r="256" spans="7:7" x14ac:dyDescent="0.3">
      <c r="G256" s="9"/>
    </row>
    <row r="257" spans="7:7" x14ac:dyDescent="0.3">
      <c r="G257" s="9"/>
    </row>
    <row r="258" spans="7:7" x14ac:dyDescent="0.3">
      <c r="G258" s="9"/>
    </row>
    <row r="259" spans="7:7" x14ac:dyDescent="0.3">
      <c r="G259" s="9"/>
    </row>
    <row r="260" spans="7:7" x14ac:dyDescent="0.3">
      <c r="G260" s="9"/>
    </row>
    <row r="261" spans="7:7" x14ac:dyDescent="0.3">
      <c r="G261" s="9"/>
    </row>
    <row r="262" spans="7:7" x14ac:dyDescent="0.3">
      <c r="G262" s="9"/>
    </row>
    <row r="263" spans="7:7" x14ac:dyDescent="0.3">
      <c r="G263" s="9"/>
    </row>
    <row r="264" spans="7:7" x14ac:dyDescent="0.3">
      <c r="G264" s="9"/>
    </row>
    <row r="265" spans="7:7" x14ac:dyDescent="0.3">
      <c r="G265" s="9"/>
    </row>
    <row r="266" spans="7:7" x14ac:dyDescent="0.3">
      <c r="G266" s="9"/>
    </row>
    <row r="267" spans="7:7" x14ac:dyDescent="0.3">
      <c r="G267" s="9"/>
    </row>
    <row r="268" spans="7:7" x14ac:dyDescent="0.3">
      <c r="G268" s="9"/>
    </row>
    <row r="269" spans="7:7" x14ac:dyDescent="0.3">
      <c r="G269" s="9"/>
    </row>
    <row r="270" spans="7:7" x14ac:dyDescent="0.3">
      <c r="G270" s="9"/>
    </row>
    <row r="271" spans="7:7" x14ac:dyDescent="0.3">
      <c r="G271" s="9"/>
    </row>
    <row r="272" spans="7:7" x14ac:dyDescent="0.3">
      <c r="G272" s="9"/>
    </row>
    <row r="273" spans="7:7" x14ac:dyDescent="0.3">
      <c r="G273" s="9"/>
    </row>
    <row r="274" spans="7:7" x14ac:dyDescent="0.3">
      <c r="G274" s="9"/>
    </row>
    <row r="275" spans="7:7" x14ac:dyDescent="0.3">
      <c r="G275" s="9"/>
    </row>
    <row r="276" spans="7:7" x14ac:dyDescent="0.3">
      <c r="G276" s="9"/>
    </row>
    <row r="277" spans="7:7" x14ac:dyDescent="0.3">
      <c r="G277" s="9"/>
    </row>
    <row r="278" spans="7:7" x14ac:dyDescent="0.3">
      <c r="G278" s="9"/>
    </row>
    <row r="279" spans="7:7" x14ac:dyDescent="0.3">
      <c r="G279" s="9"/>
    </row>
    <row r="280" spans="7:7" x14ac:dyDescent="0.3">
      <c r="G280" s="9"/>
    </row>
    <row r="281" spans="7:7" x14ac:dyDescent="0.3">
      <c r="G281" s="9"/>
    </row>
    <row r="282" spans="7:7" x14ac:dyDescent="0.3">
      <c r="G282" s="9"/>
    </row>
    <row r="283" spans="7:7" x14ac:dyDescent="0.3">
      <c r="G283" s="9"/>
    </row>
    <row r="284" spans="7:7" x14ac:dyDescent="0.3">
      <c r="G284" s="9"/>
    </row>
    <row r="285" spans="7:7" x14ac:dyDescent="0.3">
      <c r="G285" s="9"/>
    </row>
    <row r="286" spans="7:7" x14ac:dyDescent="0.3">
      <c r="G286" s="9"/>
    </row>
    <row r="287" spans="7:7" x14ac:dyDescent="0.3">
      <c r="G287" s="9"/>
    </row>
    <row r="288" spans="7:7" x14ac:dyDescent="0.3">
      <c r="G288" s="9"/>
    </row>
    <row r="289" spans="7:7" x14ac:dyDescent="0.3">
      <c r="G289" s="9"/>
    </row>
    <row r="290" spans="7:7" x14ac:dyDescent="0.3">
      <c r="G290" s="9"/>
    </row>
    <row r="291" spans="7:7" x14ac:dyDescent="0.3">
      <c r="G291" s="9"/>
    </row>
    <row r="292" spans="7:7" x14ac:dyDescent="0.3">
      <c r="G292" s="9"/>
    </row>
    <row r="293" spans="7:7" x14ac:dyDescent="0.3">
      <c r="G293" s="9"/>
    </row>
    <row r="294" spans="7:7" x14ac:dyDescent="0.3">
      <c r="G294" s="9"/>
    </row>
    <row r="295" spans="7:7" x14ac:dyDescent="0.3">
      <c r="G295" s="9"/>
    </row>
    <row r="296" spans="7:7" x14ac:dyDescent="0.3">
      <c r="G296" s="9"/>
    </row>
    <row r="297" spans="7:7" x14ac:dyDescent="0.3">
      <c r="G297" s="9"/>
    </row>
    <row r="298" spans="7:7" x14ac:dyDescent="0.3">
      <c r="G298" s="9"/>
    </row>
    <row r="299" spans="7:7" x14ac:dyDescent="0.3">
      <c r="G299" s="9"/>
    </row>
    <row r="300" spans="7:7" x14ac:dyDescent="0.3">
      <c r="G300" s="9"/>
    </row>
    <row r="301" spans="7:7" x14ac:dyDescent="0.3">
      <c r="G301" s="9"/>
    </row>
    <row r="302" spans="7:7" x14ac:dyDescent="0.3">
      <c r="G302" s="9"/>
    </row>
    <row r="303" spans="7:7" x14ac:dyDescent="0.3">
      <c r="G303" s="9"/>
    </row>
    <row r="304" spans="7:7" x14ac:dyDescent="0.3">
      <c r="G304" s="9"/>
    </row>
    <row r="305" spans="7:7" x14ac:dyDescent="0.3">
      <c r="G305" s="9"/>
    </row>
    <row r="306" spans="7:7" x14ac:dyDescent="0.3">
      <c r="G306" s="9"/>
    </row>
    <row r="307" spans="7:7" x14ac:dyDescent="0.3">
      <c r="G307" s="9"/>
    </row>
    <row r="308" spans="7:7" x14ac:dyDescent="0.3">
      <c r="G308" s="9"/>
    </row>
    <row r="309" spans="7:7" x14ac:dyDescent="0.3">
      <c r="G309" s="9"/>
    </row>
    <row r="310" spans="7:7" x14ac:dyDescent="0.3">
      <c r="G310" s="9"/>
    </row>
    <row r="311" spans="7:7" x14ac:dyDescent="0.3">
      <c r="G311" s="9"/>
    </row>
    <row r="312" spans="7:7" x14ac:dyDescent="0.3">
      <c r="G312" s="9"/>
    </row>
    <row r="313" spans="7:7" x14ac:dyDescent="0.3">
      <c r="G313" s="9"/>
    </row>
    <row r="314" spans="7:7" x14ac:dyDescent="0.3">
      <c r="G314" s="9"/>
    </row>
    <row r="315" spans="7:7" x14ac:dyDescent="0.3">
      <c r="G315" s="9"/>
    </row>
    <row r="316" spans="7:7" x14ac:dyDescent="0.3">
      <c r="G316" s="9"/>
    </row>
    <row r="317" spans="7:7" x14ac:dyDescent="0.3">
      <c r="G317" s="9"/>
    </row>
    <row r="318" spans="7:7" x14ac:dyDescent="0.3">
      <c r="G318" s="9"/>
    </row>
    <row r="319" spans="7:7" x14ac:dyDescent="0.3">
      <c r="G319" s="9"/>
    </row>
    <row r="320" spans="7:7" x14ac:dyDescent="0.3">
      <c r="G320" s="9"/>
    </row>
    <row r="321" spans="7:7" x14ac:dyDescent="0.3">
      <c r="G321" s="9"/>
    </row>
    <row r="322" spans="7:7" x14ac:dyDescent="0.3">
      <c r="G322" s="9"/>
    </row>
    <row r="323" spans="7:7" x14ac:dyDescent="0.3">
      <c r="G323" s="9"/>
    </row>
    <row r="324" spans="7:7" x14ac:dyDescent="0.3">
      <c r="G324" s="9"/>
    </row>
    <row r="325" spans="7:7" x14ac:dyDescent="0.3">
      <c r="G325" s="9"/>
    </row>
    <row r="326" spans="7:7" x14ac:dyDescent="0.3">
      <c r="G326" s="9"/>
    </row>
    <row r="327" spans="7:7" x14ac:dyDescent="0.3">
      <c r="G327" s="9"/>
    </row>
    <row r="328" spans="7:7" x14ac:dyDescent="0.3">
      <c r="G328" s="9"/>
    </row>
    <row r="329" spans="7:7" x14ac:dyDescent="0.3">
      <c r="G329" s="9"/>
    </row>
    <row r="330" spans="7:7" x14ac:dyDescent="0.3">
      <c r="G330" s="9"/>
    </row>
    <row r="331" spans="7:7" x14ac:dyDescent="0.3">
      <c r="G331" s="9"/>
    </row>
    <row r="332" spans="7:7" x14ac:dyDescent="0.3">
      <c r="G332" s="9"/>
    </row>
    <row r="333" spans="7:7" x14ac:dyDescent="0.3">
      <c r="G333" s="9"/>
    </row>
    <row r="334" spans="7:7" x14ac:dyDescent="0.3">
      <c r="G334" s="9"/>
    </row>
    <row r="335" spans="7:7" x14ac:dyDescent="0.3">
      <c r="G335" s="9"/>
    </row>
    <row r="336" spans="7:7" x14ac:dyDescent="0.3">
      <c r="G336" s="9"/>
    </row>
    <row r="337" spans="7:7" x14ac:dyDescent="0.3">
      <c r="G337" s="9"/>
    </row>
    <row r="338" spans="7:7" x14ac:dyDescent="0.3">
      <c r="G338" s="9"/>
    </row>
    <row r="339" spans="7:7" x14ac:dyDescent="0.3">
      <c r="G339" s="9"/>
    </row>
    <row r="340" spans="7:7" x14ac:dyDescent="0.3">
      <c r="G340" s="9"/>
    </row>
    <row r="341" spans="7:7" x14ac:dyDescent="0.3">
      <c r="G341" s="9"/>
    </row>
    <row r="342" spans="7:7" x14ac:dyDescent="0.3">
      <c r="G342" s="9"/>
    </row>
    <row r="343" spans="7:7" x14ac:dyDescent="0.3">
      <c r="G343" s="9"/>
    </row>
    <row r="344" spans="7:7" x14ac:dyDescent="0.3">
      <c r="G344" s="9"/>
    </row>
    <row r="345" spans="7:7" x14ac:dyDescent="0.3">
      <c r="G345" s="9"/>
    </row>
    <row r="346" spans="7:7" x14ac:dyDescent="0.3">
      <c r="G346" s="9"/>
    </row>
    <row r="347" spans="7:7" x14ac:dyDescent="0.3">
      <c r="G347" s="9"/>
    </row>
    <row r="348" spans="7:7" x14ac:dyDescent="0.3">
      <c r="G348" s="9"/>
    </row>
    <row r="349" spans="7:7" x14ac:dyDescent="0.3">
      <c r="G349" s="9"/>
    </row>
    <row r="350" spans="7:7" x14ac:dyDescent="0.3">
      <c r="G350" s="9"/>
    </row>
    <row r="351" spans="7:7" x14ac:dyDescent="0.3">
      <c r="G351" s="9"/>
    </row>
    <row r="352" spans="7:7" x14ac:dyDescent="0.3">
      <c r="G352" s="9"/>
    </row>
    <row r="353" spans="7:7" x14ac:dyDescent="0.3">
      <c r="G353" s="9"/>
    </row>
    <row r="354" spans="7:7" x14ac:dyDescent="0.3">
      <c r="G354" s="9"/>
    </row>
    <row r="355" spans="7:7" x14ac:dyDescent="0.3">
      <c r="G355" s="9"/>
    </row>
    <row r="356" spans="7:7" x14ac:dyDescent="0.3">
      <c r="G356" s="9"/>
    </row>
    <row r="357" spans="7:7" x14ac:dyDescent="0.3">
      <c r="G357" s="9"/>
    </row>
    <row r="358" spans="7:7" x14ac:dyDescent="0.3">
      <c r="G358" s="9"/>
    </row>
    <row r="359" spans="7:7" x14ac:dyDescent="0.3">
      <c r="G359" s="9"/>
    </row>
    <row r="360" spans="7:7" x14ac:dyDescent="0.3">
      <c r="G360" s="9"/>
    </row>
    <row r="361" spans="7:7" x14ac:dyDescent="0.3">
      <c r="G361" s="9"/>
    </row>
    <row r="362" spans="7:7" x14ac:dyDescent="0.3">
      <c r="G362" s="9"/>
    </row>
    <row r="363" spans="7:7" x14ac:dyDescent="0.3">
      <c r="G363" s="9"/>
    </row>
    <row r="364" spans="7:7" x14ac:dyDescent="0.3">
      <c r="G364" s="9"/>
    </row>
    <row r="365" spans="7:7" x14ac:dyDescent="0.3">
      <c r="G365" s="9"/>
    </row>
    <row r="366" spans="7:7" x14ac:dyDescent="0.3">
      <c r="G366" s="9"/>
    </row>
    <row r="367" spans="7:7" x14ac:dyDescent="0.3">
      <c r="G367" s="9"/>
    </row>
    <row r="368" spans="7:7" x14ac:dyDescent="0.3">
      <c r="G368" s="9"/>
    </row>
    <row r="369" spans="7:7" x14ac:dyDescent="0.3">
      <c r="G369" s="9"/>
    </row>
    <row r="370" spans="7:7" x14ac:dyDescent="0.3">
      <c r="G370" s="9"/>
    </row>
    <row r="371" spans="7:7" x14ac:dyDescent="0.3">
      <c r="G371" s="9"/>
    </row>
    <row r="372" spans="7:7" x14ac:dyDescent="0.3">
      <c r="G372" s="9"/>
    </row>
    <row r="373" spans="7:7" x14ac:dyDescent="0.3">
      <c r="G373" s="9"/>
    </row>
    <row r="374" spans="7:7" x14ac:dyDescent="0.3">
      <c r="G374" s="9"/>
    </row>
    <row r="375" spans="7:7" x14ac:dyDescent="0.3">
      <c r="G375" s="9"/>
    </row>
    <row r="376" spans="7:7" x14ac:dyDescent="0.3">
      <c r="G376" s="9"/>
    </row>
    <row r="377" spans="7:7" x14ac:dyDescent="0.3">
      <c r="G377" s="9"/>
    </row>
    <row r="378" spans="7:7" x14ac:dyDescent="0.3">
      <c r="G378" s="9"/>
    </row>
    <row r="379" spans="7:7" x14ac:dyDescent="0.3">
      <c r="G379" s="9"/>
    </row>
    <row r="380" spans="7:7" x14ac:dyDescent="0.3">
      <c r="G380" s="9"/>
    </row>
    <row r="381" spans="7:7" x14ac:dyDescent="0.3">
      <c r="G381" s="9"/>
    </row>
    <row r="382" spans="7:7" x14ac:dyDescent="0.3">
      <c r="G382" s="9"/>
    </row>
    <row r="383" spans="7:7" x14ac:dyDescent="0.3">
      <c r="G383" s="9"/>
    </row>
    <row r="384" spans="7:7" x14ac:dyDescent="0.3">
      <c r="G384" s="9"/>
    </row>
    <row r="385" spans="7:7" x14ac:dyDescent="0.3">
      <c r="G385" s="9"/>
    </row>
    <row r="386" spans="7:7" x14ac:dyDescent="0.3">
      <c r="G386" s="9"/>
    </row>
    <row r="387" spans="7:7" x14ac:dyDescent="0.3">
      <c r="G387" s="9"/>
    </row>
    <row r="388" spans="7:7" x14ac:dyDescent="0.3">
      <c r="G388" s="9"/>
    </row>
    <row r="389" spans="7:7" x14ac:dyDescent="0.3">
      <c r="G389" s="9"/>
    </row>
    <row r="390" spans="7:7" x14ac:dyDescent="0.3">
      <c r="G390" s="9"/>
    </row>
    <row r="391" spans="7:7" x14ac:dyDescent="0.3">
      <c r="G391" s="9"/>
    </row>
    <row r="392" spans="7:7" x14ac:dyDescent="0.3">
      <c r="G392" s="9"/>
    </row>
    <row r="393" spans="7:7" x14ac:dyDescent="0.3">
      <c r="G393" s="9"/>
    </row>
    <row r="394" spans="7:7" x14ac:dyDescent="0.3">
      <c r="G394" s="9"/>
    </row>
    <row r="395" spans="7:7" x14ac:dyDescent="0.3">
      <c r="G395" s="9"/>
    </row>
    <row r="396" spans="7:7" x14ac:dyDescent="0.3">
      <c r="G396" s="9"/>
    </row>
    <row r="397" spans="7:7" x14ac:dyDescent="0.3">
      <c r="G397" s="9"/>
    </row>
    <row r="398" spans="7:7" x14ac:dyDescent="0.3">
      <c r="G398" s="9"/>
    </row>
    <row r="399" spans="7:7" x14ac:dyDescent="0.3">
      <c r="G399" s="9"/>
    </row>
    <row r="400" spans="7:7" x14ac:dyDescent="0.3">
      <c r="G400" s="9"/>
    </row>
    <row r="401" spans="7:7" x14ac:dyDescent="0.3">
      <c r="G401" s="9"/>
    </row>
    <row r="402" spans="7:7" x14ac:dyDescent="0.3">
      <c r="G402" s="9"/>
    </row>
    <row r="403" spans="7:7" x14ac:dyDescent="0.3">
      <c r="G403" s="9"/>
    </row>
    <row r="404" spans="7:7" x14ac:dyDescent="0.3">
      <c r="G404" s="9"/>
    </row>
    <row r="405" spans="7:7" x14ac:dyDescent="0.3">
      <c r="G405" s="9"/>
    </row>
    <row r="406" spans="7:7" x14ac:dyDescent="0.3">
      <c r="G406" s="9"/>
    </row>
    <row r="407" spans="7:7" x14ac:dyDescent="0.3">
      <c r="G407" s="9"/>
    </row>
    <row r="408" spans="7:7" x14ac:dyDescent="0.3">
      <c r="G408" s="9"/>
    </row>
    <row r="409" spans="7:7" x14ac:dyDescent="0.3">
      <c r="G409" s="9"/>
    </row>
    <row r="410" spans="7:7" x14ac:dyDescent="0.3">
      <c r="G410" s="9"/>
    </row>
    <row r="411" spans="7:7" x14ac:dyDescent="0.3">
      <c r="G411" s="9"/>
    </row>
    <row r="412" spans="7:7" x14ac:dyDescent="0.3">
      <c r="G412" s="9"/>
    </row>
    <row r="413" spans="7:7" x14ac:dyDescent="0.3">
      <c r="G413" s="9"/>
    </row>
    <row r="414" spans="7:7" x14ac:dyDescent="0.3">
      <c r="G414" s="9"/>
    </row>
    <row r="415" spans="7:7" x14ac:dyDescent="0.3">
      <c r="G415" s="9"/>
    </row>
    <row r="416" spans="7:7" x14ac:dyDescent="0.3">
      <c r="G416" s="9"/>
    </row>
    <row r="417" spans="7:7" x14ac:dyDescent="0.3">
      <c r="G417" s="9"/>
    </row>
    <row r="418" spans="7:7" x14ac:dyDescent="0.3">
      <c r="G418" s="9"/>
    </row>
    <row r="419" spans="7:7" x14ac:dyDescent="0.3">
      <c r="G419" s="9"/>
    </row>
    <row r="420" spans="7:7" x14ac:dyDescent="0.3">
      <c r="G420" s="9"/>
    </row>
    <row r="421" spans="7:7" x14ac:dyDescent="0.3">
      <c r="G421" s="9"/>
    </row>
    <row r="422" spans="7:7" x14ac:dyDescent="0.3">
      <c r="G422" s="9"/>
    </row>
    <row r="423" spans="7:7" x14ac:dyDescent="0.3">
      <c r="G423" s="9"/>
    </row>
    <row r="424" spans="7:7" x14ac:dyDescent="0.3">
      <c r="G424" s="9"/>
    </row>
    <row r="425" spans="7:7" x14ac:dyDescent="0.3">
      <c r="G425" s="9"/>
    </row>
    <row r="426" spans="7:7" x14ac:dyDescent="0.3">
      <c r="G426" s="9"/>
    </row>
    <row r="427" spans="7:7" x14ac:dyDescent="0.3">
      <c r="G427" s="9"/>
    </row>
    <row r="428" spans="7:7" x14ac:dyDescent="0.3">
      <c r="G428" s="9"/>
    </row>
    <row r="429" spans="7:7" x14ac:dyDescent="0.3">
      <c r="G429" s="9"/>
    </row>
    <row r="430" spans="7:7" x14ac:dyDescent="0.3">
      <c r="G430" s="9"/>
    </row>
    <row r="431" spans="7:7" x14ac:dyDescent="0.3">
      <c r="G431" s="9"/>
    </row>
    <row r="432" spans="7:7" x14ac:dyDescent="0.3">
      <c r="G432" s="9"/>
    </row>
    <row r="433" spans="7:7" x14ac:dyDescent="0.3">
      <c r="G433" s="9"/>
    </row>
    <row r="434" spans="7:7" x14ac:dyDescent="0.3">
      <c r="G434" s="9"/>
    </row>
    <row r="435" spans="7:7" x14ac:dyDescent="0.3">
      <c r="G435" s="9"/>
    </row>
    <row r="436" spans="7:7" x14ac:dyDescent="0.3">
      <c r="G436" s="9"/>
    </row>
    <row r="437" spans="7:7" x14ac:dyDescent="0.3">
      <c r="G437" s="9"/>
    </row>
    <row r="438" spans="7:7" x14ac:dyDescent="0.3">
      <c r="G438" s="9"/>
    </row>
    <row r="439" spans="7:7" x14ac:dyDescent="0.3">
      <c r="G439" s="9"/>
    </row>
    <row r="440" spans="7:7" x14ac:dyDescent="0.3">
      <c r="G440" s="9"/>
    </row>
    <row r="441" spans="7:7" x14ac:dyDescent="0.3">
      <c r="G441" s="9"/>
    </row>
    <row r="442" spans="7:7" x14ac:dyDescent="0.3">
      <c r="G442" s="9"/>
    </row>
    <row r="443" spans="7:7" x14ac:dyDescent="0.3">
      <c r="G443" s="9"/>
    </row>
    <row r="444" spans="7:7" x14ac:dyDescent="0.3">
      <c r="G444" s="9"/>
    </row>
    <row r="445" spans="7:7" x14ac:dyDescent="0.3">
      <c r="G445" s="9"/>
    </row>
    <row r="446" spans="7:7" x14ac:dyDescent="0.3">
      <c r="G446" s="9"/>
    </row>
    <row r="447" spans="7:7" x14ac:dyDescent="0.3">
      <c r="G447" s="9"/>
    </row>
    <row r="448" spans="7:7" x14ac:dyDescent="0.3">
      <c r="G448" s="9"/>
    </row>
    <row r="449" spans="7:7" x14ac:dyDescent="0.3">
      <c r="G449" s="9"/>
    </row>
    <row r="450" spans="7:7" x14ac:dyDescent="0.3">
      <c r="G450" s="9"/>
    </row>
    <row r="451" spans="7:7" x14ac:dyDescent="0.3">
      <c r="G451" s="9"/>
    </row>
    <row r="452" spans="7:7" x14ac:dyDescent="0.3">
      <c r="G452" s="9"/>
    </row>
    <row r="453" spans="7:7" x14ac:dyDescent="0.3">
      <c r="G453" s="9"/>
    </row>
    <row r="454" spans="7:7" x14ac:dyDescent="0.3">
      <c r="G454" s="9"/>
    </row>
    <row r="455" spans="7:7" x14ac:dyDescent="0.3">
      <c r="G455" s="9"/>
    </row>
    <row r="456" spans="7:7" x14ac:dyDescent="0.3">
      <c r="G456" s="9"/>
    </row>
    <row r="457" spans="7:7" x14ac:dyDescent="0.3">
      <c r="G457" s="9"/>
    </row>
    <row r="458" spans="7:7" x14ac:dyDescent="0.3">
      <c r="G458" s="9"/>
    </row>
    <row r="459" spans="7:7" x14ac:dyDescent="0.3">
      <c r="G459" s="9"/>
    </row>
    <row r="460" spans="7:7" x14ac:dyDescent="0.3">
      <c r="G460" s="9"/>
    </row>
    <row r="461" spans="7:7" x14ac:dyDescent="0.3">
      <c r="G461" s="9"/>
    </row>
    <row r="462" spans="7:7" x14ac:dyDescent="0.3">
      <c r="G462" s="9"/>
    </row>
    <row r="463" spans="7:7" x14ac:dyDescent="0.3">
      <c r="G463" s="9"/>
    </row>
    <row r="464" spans="7:7" x14ac:dyDescent="0.3">
      <c r="G464" s="9"/>
    </row>
    <row r="465" spans="7:7" x14ac:dyDescent="0.3">
      <c r="G465" s="9"/>
    </row>
    <row r="466" spans="7:7" x14ac:dyDescent="0.3">
      <c r="G466" s="9"/>
    </row>
    <row r="467" spans="7:7" x14ac:dyDescent="0.3">
      <c r="G467" s="9"/>
    </row>
    <row r="468" spans="7:7" x14ac:dyDescent="0.3">
      <c r="G468" s="9"/>
    </row>
    <row r="469" spans="7:7" x14ac:dyDescent="0.3">
      <c r="G469" s="9"/>
    </row>
    <row r="470" spans="7:7" x14ac:dyDescent="0.3">
      <c r="G470" s="9"/>
    </row>
    <row r="471" spans="7:7" x14ac:dyDescent="0.3">
      <c r="G471" s="9"/>
    </row>
    <row r="472" spans="7:7" x14ac:dyDescent="0.3">
      <c r="G472" s="9"/>
    </row>
    <row r="473" spans="7:7" x14ac:dyDescent="0.3">
      <c r="G473" s="9"/>
    </row>
    <row r="474" spans="7:7" x14ac:dyDescent="0.3">
      <c r="G474" s="9"/>
    </row>
    <row r="475" spans="7:7" x14ac:dyDescent="0.3">
      <c r="G475" s="9"/>
    </row>
    <row r="476" spans="7:7" x14ac:dyDescent="0.3">
      <c r="G476" s="9"/>
    </row>
    <row r="477" spans="7:7" x14ac:dyDescent="0.3">
      <c r="G477" s="9"/>
    </row>
    <row r="478" spans="7:7" x14ac:dyDescent="0.3">
      <c r="G478" s="9"/>
    </row>
    <row r="479" spans="7:7" x14ac:dyDescent="0.3">
      <c r="G479" s="9"/>
    </row>
    <row r="480" spans="7:7" x14ac:dyDescent="0.3">
      <c r="G480" s="9"/>
    </row>
    <row r="481" spans="7:7" x14ac:dyDescent="0.3">
      <c r="G481" s="9"/>
    </row>
    <row r="482" spans="7:7" x14ac:dyDescent="0.3">
      <c r="G482" s="9"/>
    </row>
    <row r="483" spans="7:7" x14ac:dyDescent="0.3">
      <c r="G483" s="9"/>
    </row>
    <row r="484" spans="7:7" x14ac:dyDescent="0.3">
      <c r="G484" s="9"/>
    </row>
    <row r="485" spans="7:7" x14ac:dyDescent="0.3">
      <c r="G485" s="9"/>
    </row>
    <row r="486" spans="7:7" x14ac:dyDescent="0.3">
      <c r="G486" s="9"/>
    </row>
    <row r="487" spans="7:7" x14ac:dyDescent="0.3">
      <c r="G487" s="9"/>
    </row>
    <row r="488" spans="7:7" x14ac:dyDescent="0.3">
      <c r="G488" s="9"/>
    </row>
    <row r="489" spans="7:7" x14ac:dyDescent="0.3">
      <c r="G489" s="9"/>
    </row>
    <row r="490" spans="7:7" x14ac:dyDescent="0.3">
      <c r="G490" s="9"/>
    </row>
    <row r="491" spans="7:7" x14ac:dyDescent="0.3">
      <c r="G491" s="9"/>
    </row>
    <row r="492" spans="7:7" x14ac:dyDescent="0.3">
      <c r="G492" s="9"/>
    </row>
    <row r="493" spans="7:7" x14ac:dyDescent="0.3">
      <c r="G493" s="9"/>
    </row>
    <row r="494" spans="7:7" x14ac:dyDescent="0.3">
      <c r="G494" s="9"/>
    </row>
    <row r="495" spans="7:7" x14ac:dyDescent="0.3">
      <c r="G495" s="9"/>
    </row>
    <row r="496" spans="7:7" x14ac:dyDescent="0.3">
      <c r="G496" s="9"/>
    </row>
    <row r="497" spans="7:7" x14ac:dyDescent="0.3">
      <c r="G497" s="9"/>
    </row>
    <row r="498" spans="7:7" x14ac:dyDescent="0.3">
      <c r="G498" s="9"/>
    </row>
    <row r="499" spans="7:7" x14ac:dyDescent="0.3">
      <c r="G499" s="9"/>
    </row>
    <row r="500" spans="7:7" x14ac:dyDescent="0.3">
      <c r="G500" s="9"/>
    </row>
    <row r="501" spans="7:7" x14ac:dyDescent="0.3">
      <c r="G501" s="9"/>
    </row>
    <row r="502" spans="7:7" x14ac:dyDescent="0.3">
      <c r="G502" s="9"/>
    </row>
    <row r="503" spans="7:7" x14ac:dyDescent="0.3">
      <c r="G503" s="9"/>
    </row>
    <row r="504" spans="7:7" x14ac:dyDescent="0.3">
      <c r="G504" s="9"/>
    </row>
    <row r="505" spans="7:7" x14ac:dyDescent="0.3">
      <c r="G505" s="9"/>
    </row>
    <row r="506" spans="7:7" x14ac:dyDescent="0.3">
      <c r="G506" s="9"/>
    </row>
    <row r="507" spans="7:7" x14ac:dyDescent="0.3">
      <c r="G507" s="9"/>
    </row>
    <row r="508" spans="7:7" x14ac:dyDescent="0.3">
      <c r="G508" s="9"/>
    </row>
    <row r="509" spans="7:7" x14ac:dyDescent="0.3">
      <c r="G509" s="9"/>
    </row>
    <row r="510" spans="7:7" x14ac:dyDescent="0.3">
      <c r="G510" s="9"/>
    </row>
    <row r="511" spans="7:7" x14ac:dyDescent="0.3">
      <c r="G511" s="9"/>
    </row>
    <row r="512" spans="7:7" x14ac:dyDescent="0.3">
      <c r="G512" s="9"/>
    </row>
    <row r="513" spans="7:7" x14ac:dyDescent="0.3">
      <c r="G513" s="9"/>
    </row>
    <row r="514" spans="7:7" x14ac:dyDescent="0.3">
      <c r="G514" s="9"/>
    </row>
    <row r="515" spans="7:7" x14ac:dyDescent="0.3">
      <c r="G515" s="9"/>
    </row>
    <row r="516" spans="7:7" x14ac:dyDescent="0.3">
      <c r="G516" s="9"/>
    </row>
    <row r="517" spans="7:7" x14ac:dyDescent="0.3">
      <c r="G517" s="9"/>
    </row>
    <row r="518" spans="7:7" x14ac:dyDescent="0.3">
      <c r="G518" s="9"/>
    </row>
    <row r="519" spans="7:7" x14ac:dyDescent="0.3">
      <c r="G519" s="9"/>
    </row>
    <row r="520" spans="7:7" x14ac:dyDescent="0.3">
      <c r="G520" s="9"/>
    </row>
    <row r="521" spans="7:7" x14ac:dyDescent="0.3">
      <c r="G521" s="9"/>
    </row>
    <row r="522" spans="7:7" x14ac:dyDescent="0.3">
      <c r="G522" s="9"/>
    </row>
    <row r="523" spans="7:7" x14ac:dyDescent="0.3">
      <c r="G523" s="9"/>
    </row>
    <row r="524" spans="7:7" x14ac:dyDescent="0.3">
      <c r="G524" s="9"/>
    </row>
    <row r="525" spans="7:7" x14ac:dyDescent="0.3">
      <c r="G525" s="9"/>
    </row>
    <row r="526" spans="7:7" x14ac:dyDescent="0.3">
      <c r="G526" s="9"/>
    </row>
    <row r="527" spans="7:7" x14ac:dyDescent="0.3">
      <c r="G527" s="9"/>
    </row>
    <row r="528" spans="7:7" x14ac:dyDescent="0.3">
      <c r="G528" s="9"/>
    </row>
    <row r="529" spans="7:7" x14ac:dyDescent="0.3">
      <c r="G529" s="9"/>
    </row>
    <row r="530" spans="7:7" x14ac:dyDescent="0.3">
      <c r="G530" s="9"/>
    </row>
    <row r="531" spans="7:7" x14ac:dyDescent="0.3">
      <c r="G531" s="9"/>
    </row>
    <row r="532" spans="7:7" x14ac:dyDescent="0.3">
      <c r="G532" s="9"/>
    </row>
    <row r="533" spans="7:7" x14ac:dyDescent="0.3">
      <c r="G533" s="9"/>
    </row>
    <row r="534" spans="7:7" x14ac:dyDescent="0.3">
      <c r="G534" s="9"/>
    </row>
    <row r="535" spans="7:7" x14ac:dyDescent="0.3">
      <c r="G535" s="9"/>
    </row>
    <row r="536" spans="7:7" x14ac:dyDescent="0.3">
      <c r="G536" s="9"/>
    </row>
    <row r="537" spans="7:7" x14ac:dyDescent="0.3">
      <c r="G537" s="9"/>
    </row>
    <row r="538" spans="7:7" x14ac:dyDescent="0.3">
      <c r="G538" s="9"/>
    </row>
    <row r="539" spans="7:7" x14ac:dyDescent="0.3">
      <c r="G539" s="9"/>
    </row>
    <row r="540" spans="7:7" x14ac:dyDescent="0.3">
      <c r="G540" s="9"/>
    </row>
    <row r="541" spans="7:7" x14ac:dyDescent="0.3">
      <c r="G541" s="9"/>
    </row>
    <row r="542" spans="7:7" x14ac:dyDescent="0.3">
      <c r="G542" s="9"/>
    </row>
    <row r="543" spans="7:7" x14ac:dyDescent="0.3">
      <c r="G543" s="9"/>
    </row>
    <row r="544" spans="7:7" x14ac:dyDescent="0.3">
      <c r="G544" s="9"/>
    </row>
    <row r="545" spans="7:7" x14ac:dyDescent="0.3">
      <c r="G545" s="9"/>
    </row>
    <row r="546" spans="7:7" x14ac:dyDescent="0.3">
      <c r="G546" s="9"/>
    </row>
    <row r="547" spans="7:7" x14ac:dyDescent="0.3">
      <c r="G547" s="9"/>
    </row>
    <row r="548" spans="7:7" x14ac:dyDescent="0.3">
      <c r="G548" s="9"/>
    </row>
    <row r="549" spans="7:7" x14ac:dyDescent="0.3">
      <c r="G549" s="9"/>
    </row>
    <row r="550" spans="7:7" x14ac:dyDescent="0.3">
      <c r="G550" s="9"/>
    </row>
    <row r="551" spans="7:7" x14ac:dyDescent="0.3">
      <c r="G551" s="9"/>
    </row>
    <row r="552" spans="7:7" x14ac:dyDescent="0.3">
      <c r="G552" s="9"/>
    </row>
    <row r="553" spans="7:7" x14ac:dyDescent="0.3">
      <c r="G553" s="9"/>
    </row>
    <row r="554" spans="7:7" x14ac:dyDescent="0.3">
      <c r="G554" s="9"/>
    </row>
    <row r="555" spans="7:7" x14ac:dyDescent="0.3">
      <c r="G555" s="9"/>
    </row>
    <row r="556" spans="7:7" x14ac:dyDescent="0.3">
      <c r="G556" s="9"/>
    </row>
    <row r="557" spans="7:7" x14ac:dyDescent="0.3">
      <c r="G557" s="9"/>
    </row>
    <row r="558" spans="7:7" x14ac:dyDescent="0.3">
      <c r="G558" s="9"/>
    </row>
    <row r="559" spans="7:7" x14ac:dyDescent="0.3">
      <c r="G559" s="9"/>
    </row>
    <row r="560" spans="7:7" x14ac:dyDescent="0.3">
      <c r="G560" s="9"/>
    </row>
    <row r="561" spans="7:7" x14ac:dyDescent="0.3">
      <c r="G561" s="9"/>
    </row>
    <row r="562" spans="7:7" x14ac:dyDescent="0.3">
      <c r="G562" s="9"/>
    </row>
    <row r="563" spans="7:7" x14ac:dyDescent="0.3">
      <c r="G563" s="9"/>
    </row>
    <row r="564" spans="7:7" x14ac:dyDescent="0.3">
      <c r="G564" s="9"/>
    </row>
    <row r="565" spans="7:7" x14ac:dyDescent="0.3">
      <c r="G565" s="9"/>
    </row>
    <row r="566" spans="7:7" x14ac:dyDescent="0.3">
      <c r="G566" s="9"/>
    </row>
    <row r="567" spans="7:7" x14ac:dyDescent="0.3">
      <c r="G567" s="9"/>
    </row>
    <row r="568" spans="7:7" x14ac:dyDescent="0.3">
      <c r="G568" s="9"/>
    </row>
    <row r="569" spans="7:7" x14ac:dyDescent="0.3">
      <c r="G569" s="9"/>
    </row>
    <row r="570" spans="7:7" x14ac:dyDescent="0.3">
      <c r="G570" s="9"/>
    </row>
    <row r="571" spans="7:7" x14ac:dyDescent="0.3">
      <c r="G571" s="9"/>
    </row>
    <row r="572" spans="7:7" x14ac:dyDescent="0.3">
      <c r="G572" s="9"/>
    </row>
    <row r="573" spans="7:7" x14ac:dyDescent="0.3">
      <c r="G573" s="9"/>
    </row>
    <row r="574" spans="7:7" x14ac:dyDescent="0.3">
      <c r="G574" s="9"/>
    </row>
    <row r="575" spans="7:7" x14ac:dyDescent="0.3">
      <c r="G575" s="9"/>
    </row>
    <row r="576" spans="7:7" x14ac:dyDescent="0.3">
      <c r="G576" s="9"/>
    </row>
    <row r="577" spans="7:7" x14ac:dyDescent="0.3">
      <c r="G577" s="9"/>
    </row>
    <row r="578" spans="7:7" x14ac:dyDescent="0.3">
      <c r="G578" s="9"/>
    </row>
    <row r="579" spans="7:7" x14ac:dyDescent="0.3">
      <c r="G579" s="9"/>
    </row>
    <row r="580" spans="7:7" x14ac:dyDescent="0.3">
      <c r="G580" s="9"/>
    </row>
    <row r="581" spans="7:7" x14ac:dyDescent="0.3">
      <c r="G581" s="9"/>
    </row>
    <row r="582" spans="7:7" x14ac:dyDescent="0.3">
      <c r="G582" s="9"/>
    </row>
    <row r="583" spans="7:7" x14ac:dyDescent="0.3">
      <c r="G583" s="9"/>
    </row>
    <row r="584" spans="7:7" x14ac:dyDescent="0.3">
      <c r="G584" s="9"/>
    </row>
    <row r="585" spans="7:7" x14ac:dyDescent="0.3">
      <c r="G585" s="9"/>
    </row>
    <row r="586" spans="7:7" x14ac:dyDescent="0.3">
      <c r="G586" s="9"/>
    </row>
    <row r="587" spans="7:7" x14ac:dyDescent="0.3">
      <c r="G587" s="9"/>
    </row>
    <row r="588" spans="7:7" x14ac:dyDescent="0.3">
      <c r="G588" s="9"/>
    </row>
    <row r="589" spans="7:7" x14ac:dyDescent="0.3">
      <c r="G589" s="9"/>
    </row>
    <row r="590" spans="7:7" x14ac:dyDescent="0.3">
      <c r="G590" s="9"/>
    </row>
    <row r="591" spans="7:7" x14ac:dyDescent="0.3">
      <c r="G591" s="9"/>
    </row>
    <row r="592" spans="7:7" x14ac:dyDescent="0.3">
      <c r="G592" s="9"/>
    </row>
    <row r="593" spans="7:7" x14ac:dyDescent="0.3">
      <c r="G593" s="9"/>
    </row>
    <row r="594" spans="7:7" x14ac:dyDescent="0.3">
      <c r="G594" s="9"/>
    </row>
    <row r="595" spans="7:7" x14ac:dyDescent="0.3">
      <c r="G595" s="9"/>
    </row>
    <row r="596" spans="7:7" x14ac:dyDescent="0.3">
      <c r="G596" s="9"/>
    </row>
    <row r="597" spans="7:7" x14ac:dyDescent="0.3">
      <c r="G597" s="9"/>
    </row>
    <row r="598" spans="7:7" x14ac:dyDescent="0.3">
      <c r="G598" s="9"/>
    </row>
    <row r="599" spans="7:7" x14ac:dyDescent="0.3">
      <c r="G599" s="9"/>
    </row>
    <row r="600" spans="7:7" x14ac:dyDescent="0.3">
      <c r="G600" s="9"/>
    </row>
    <row r="601" spans="7:7" x14ac:dyDescent="0.3">
      <c r="G601" s="9"/>
    </row>
    <row r="602" spans="7:7" x14ac:dyDescent="0.3">
      <c r="G602" s="9"/>
    </row>
    <row r="603" spans="7:7" x14ac:dyDescent="0.3">
      <c r="G603" s="9"/>
    </row>
    <row r="604" spans="7:7" x14ac:dyDescent="0.3">
      <c r="G604" s="9"/>
    </row>
    <row r="605" spans="7:7" x14ac:dyDescent="0.3">
      <c r="G605" s="9"/>
    </row>
    <row r="606" spans="7:7" x14ac:dyDescent="0.3">
      <c r="G606" s="9"/>
    </row>
    <row r="607" spans="7:7" x14ac:dyDescent="0.3">
      <c r="G607" s="9"/>
    </row>
    <row r="608" spans="7:7" x14ac:dyDescent="0.3">
      <c r="G608" s="9"/>
    </row>
    <row r="609" spans="7:7" x14ac:dyDescent="0.3">
      <c r="G609" s="9"/>
    </row>
    <row r="610" spans="7:7" x14ac:dyDescent="0.3">
      <c r="G610" s="9"/>
    </row>
    <row r="611" spans="7:7" x14ac:dyDescent="0.3">
      <c r="G611" s="9"/>
    </row>
    <row r="612" spans="7:7" x14ac:dyDescent="0.3">
      <c r="G612" s="9"/>
    </row>
    <row r="613" spans="7:7" x14ac:dyDescent="0.3">
      <c r="G613" s="9"/>
    </row>
    <row r="614" spans="7:7" x14ac:dyDescent="0.3">
      <c r="G614" s="9"/>
    </row>
    <row r="615" spans="7:7" x14ac:dyDescent="0.3">
      <c r="G615" s="9"/>
    </row>
    <row r="616" spans="7:7" x14ac:dyDescent="0.3">
      <c r="G616" s="9"/>
    </row>
    <row r="617" spans="7:7" x14ac:dyDescent="0.3">
      <c r="G617" s="9"/>
    </row>
    <row r="618" spans="7:7" x14ac:dyDescent="0.3">
      <c r="G618" s="9"/>
    </row>
    <row r="619" spans="7:7" x14ac:dyDescent="0.3">
      <c r="G619" s="9"/>
    </row>
    <row r="620" spans="7:7" x14ac:dyDescent="0.3">
      <c r="G620" s="9"/>
    </row>
    <row r="621" spans="7:7" x14ac:dyDescent="0.3">
      <c r="G621" s="9"/>
    </row>
    <row r="622" spans="7:7" x14ac:dyDescent="0.3">
      <c r="G622" s="9"/>
    </row>
    <row r="623" spans="7:7" x14ac:dyDescent="0.3">
      <c r="G623" s="9"/>
    </row>
    <row r="624" spans="7:7" x14ac:dyDescent="0.3">
      <c r="G624" s="9"/>
    </row>
    <row r="625" spans="7:7" x14ac:dyDescent="0.3">
      <c r="G625" s="9"/>
    </row>
    <row r="626" spans="7:7" x14ac:dyDescent="0.3">
      <c r="G626" s="9"/>
    </row>
    <row r="627" spans="7:7" x14ac:dyDescent="0.3">
      <c r="G627" s="9"/>
    </row>
    <row r="628" spans="7:7" x14ac:dyDescent="0.3">
      <c r="G628" s="9"/>
    </row>
    <row r="629" spans="7:7" x14ac:dyDescent="0.3">
      <c r="G629" s="9"/>
    </row>
    <row r="630" spans="7:7" x14ac:dyDescent="0.3">
      <c r="G630" s="9"/>
    </row>
    <row r="631" spans="7:7" x14ac:dyDescent="0.3">
      <c r="G631" s="9"/>
    </row>
    <row r="632" spans="7:7" x14ac:dyDescent="0.3">
      <c r="G632" s="9"/>
    </row>
    <row r="633" spans="7:7" x14ac:dyDescent="0.3">
      <c r="G633" s="9"/>
    </row>
    <row r="634" spans="7:7" x14ac:dyDescent="0.3">
      <c r="G634" s="9"/>
    </row>
    <row r="635" spans="7:7" x14ac:dyDescent="0.3">
      <c r="G635" s="9"/>
    </row>
    <row r="636" spans="7:7" x14ac:dyDescent="0.3">
      <c r="G636" s="9"/>
    </row>
    <row r="637" spans="7:7" x14ac:dyDescent="0.3">
      <c r="G637" s="9"/>
    </row>
    <row r="638" spans="7:7" x14ac:dyDescent="0.3">
      <c r="G638" s="9"/>
    </row>
    <row r="639" spans="7:7" x14ac:dyDescent="0.3">
      <c r="G639" s="9"/>
    </row>
    <row r="640" spans="7:7" x14ac:dyDescent="0.3">
      <c r="G640" s="9"/>
    </row>
    <row r="641" spans="7:7" x14ac:dyDescent="0.3">
      <c r="G641" s="9"/>
    </row>
    <row r="642" spans="7:7" x14ac:dyDescent="0.3">
      <c r="G642" s="9"/>
    </row>
    <row r="643" spans="7:7" x14ac:dyDescent="0.3">
      <c r="G643" s="9"/>
    </row>
    <row r="644" spans="7:7" x14ac:dyDescent="0.3">
      <c r="G644" s="9"/>
    </row>
    <row r="645" spans="7:7" x14ac:dyDescent="0.3">
      <c r="G645" s="9"/>
    </row>
    <row r="646" spans="7:7" x14ac:dyDescent="0.3">
      <c r="G646" s="9"/>
    </row>
    <row r="647" spans="7:7" x14ac:dyDescent="0.3">
      <c r="G647" s="9"/>
    </row>
    <row r="648" spans="7:7" x14ac:dyDescent="0.3">
      <c r="G648" s="9"/>
    </row>
    <row r="649" spans="7:7" x14ac:dyDescent="0.3">
      <c r="G649" s="9"/>
    </row>
    <row r="650" spans="7:7" x14ac:dyDescent="0.3">
      <c r="G650" s="9"/>
    </row>
    <row r="651" spans="7:7" x14ac:dyDescent="0.3">
      <c r="G651" s="9"/>
    </row>
    <row r="652" spans="7:7" x14ac:dyDescent="0.3">
      <c r="G652" s="9"/>
    </row>
    <row r="653" spans="7:7" x14ac:dyDescent="0.3">
      <c r="G653" s="9"/>
    </row>
    <row r="654" spans="7:7" x14ac:dyDescent="0.3">
      <c r="G654" s="9"/>
    </row>
    <row r="655" spans="7:7" x14ac:dyDescent="0.3">
      <c r="G655" s="9"/>
    </row>
    <row r="656" spans="7:7" x14ac:dyDescent="0.3">
      <c r="G656" s="9"/>
    </row>
    <row r="657" spans="7:7" x14ac:dyDescent="0.3">
      <c r="G657" s="9"/>
    </row>
    <row r="658" spans="7:7" x14ac:dyDescent="0.3">
      <c r="G658" s="9"/>
    </row>
    <row r="659" spans="7:7" x14ac:dyDescent="0.3">
      <c r="G659" s="9"/>
    </row>
    <row r="660" spans="7:7" x14ac:dyDescent="0.3">
      <c r="G660" s="9"/>
    </row>
    <row r="661" spans="7:7" x14ac:dyDescent="0.3">
      <c r="G661" s="9"/>
    </row>
    <row r="662" spans="7:7" x14ac:dyDescent="0.3">
      <c r="G662" s="9"/>
    </row>
    <row r="663" spans="7:7" x14ac:dyDescent="0.3">
      <c r="G663" s="9"/>
    </row>
    <row r="664" spans="7:7" x14ac:dyDescent="0.3">
      <c r="G664" s="9"/>
    </row>
    <row r="665" spans="7:7" x14ac:dyDescent="0.3">
      <c r="G665" s="9"/>
    </row>
    <row r="666" spans="7:7" x14ac:dyDescent="0.3">
      <c r="G666" s="9"/>
    </row>
    <row r="667" spans="7:7" x14ac:dyDescent="0.3">
      <c r="G667" s="9"/>
    </row>
    <row r="668" spans="7:7" x14ac:dyDescent="0.3">
      <c r="G668" s="9"/>
    </row>
    <row r="669" spans="7:7" x14ac:dyDescent="0.3">
      <c r="G669" s="9"/>
    </row>
    <row r="670" spans="7:7" x14ac:dyDescent="0.3">
      <c r="G670" s="9"/>
    </row>
    <row r="671" spans="7:7" x14ac:dyDescent="0.3">
      <c r="G671" s="9"/>
    </row>
    <row r="672" spans="7:7" x14ac:dyDescent="0.3">
      <c r="G672" s="9"/>
    </row>
    <row r="673" spans="7:7" x14ac:dyDescent="0.3">
      <c r="G673" s="9"/>
    </row>
    <row r="674" spans="7:7" x14ac:dyDescent="0.3">
      <c r="G674" s="9"/>
    </row>
    <row r="675" spans="7:7" x14ac:dyDescent="0.3">
      <c r="G675" s="9"/>
    </row>
    <row r="676" spans="7:7" x14ac:dyDescent="0.3">
      <c r="G676" s="9"/>
    </row>
    <row r="677" spans="7:7" x14ac:dyDescent="0.3">
      <c r="G677" s="9"/>
    </row>
    <row r="678" spans="7:7" x14ac:dyDescent="0.3">
      <c r="G678" s="9"/>
    </row>
    <row r="679" spans="7:7" x14ac:dyDescent="0.3">
      <c r="G679" s="9"/>
    </row>
    <row r="680" spans="7:7" x14ac:dyDescent="0.3">
      <c r="G680" s="9"/>
    </row>
    <row r="681" spans="7:7" x14ac:dyDescent="0.3">
      <c r="G681" s="9"/>
    </row>
    <row r="682" spans="7:7" x14ac:dyDescent="0.3">
      <c r="G682" s="9"/>
    </row>
    <row r="683" spans="7:7" x14ac:dyDescent="0.3">
      <c r="G683" s="9"/>
    </row>
    <row r="684" spans="7:7" x14ac:dyDescent="0.3">
      <c r="G684" s="9"/>
    </row>
    <row r="685" spans="7:7" x14ac:dyDescent="0.3">
      <c r="G685" s="9"/>
    </row>
    <row r="686" spans="7:7" x14ac:dyDescent="0.3">
      <c r="G686" s="9"/>
    </row>
    <row r="687" spans="7:7" x14ac:dyDescent="0.3">
      <c r="G687" s="9"/>
    </row>
    <row r="688" spans="7:7" x14ac:dyDescent="0.3">
      <c r="G688" s="9"/>
    </row>
    <row r="689" spans="7:7" x14ac:dyDescent="0.3">
      <c r="G689" s="9"/>
    </row>
    <row r="690" spans="7:7" x14ac:dyDescent="0.3">
      <c r="G690" s="9"/>
    </row>
    <row r="691" spans="7:7" x14ac:dyDescent="0.3">
      <c r="G691" s="9"/>
    </row>
    <row r="692" spans="7:7" x14ac:dyDescent="0.3">
      <c r="G692" s="9"/>
    </row>
    <row r="693" spans="7:7" x14ac:dyDescent="0.3">
      <c r="G693" s="9"/>
    </row>
    <row r="694" spans="7:7" x14ac:dyDescent="0.3">
      <c r="G694" s="9"/>
    </row>
    <row r="695" spans="7:7" x14ac:dyDescent="0.3">
      <c r="G695" s="9"/>
    </row>
    <row r="696" spans="7:7" x14ac:dyDescent="0.3">
      <c r="G696" s="9"/>
    </row>
    <row r="697" spans="7:7" x14ac:dyDescent="0.3">
      <c r="G697" s="9"/>
    </row>
    <row r="698" spans="7:7" x14ac:dyDescent="0.3">
      <c r="G698" s="9"/>
    </row>
    <row r="699" spans="7:7" x14ac:dyDescent="0.3">
      <c r="G699" s="9"/>
    </row>
    <row r="700" spans="7:7" x14ac:dyDescent="0.3">
      <c r="G700" s="9"/>
    </row>
    <row r="701" spans="7:7" x14ac:dyDescent="0.3">
      <c r="G701" s="9"/>
    </row>
    <row r="702" spans="7:7" x14ac:dyDescent="0.3">
      <c r="G702" s="9"/>
    </row>
    <row r="703" spans="7:7" x14ac:dyDescent="0.3">
      <c r="G703" s="9"/>
    </row>
    <row r="704" spans="7:7" x14ac:dyDescent="0.3">
      <c r="G704" s="9"/>
    </row>
    <row r="705" spans="7:7" x14ac:dyDescent="0.3">
      <c r="G705" s="9"/>
    </row>
    <row r="706" spans="7:7" x14ac:dyDescent="0.3">
      <c r="G706" s="9"/>
    </row>
    <row r="707" spans="7:7" x14ac:dyDescent="0.3">
      <c r="G707" s="9"/>
    </row>
    <row r="708" spans="7:7" x14ac:dyDescent="0.3">
      <c r="G708" s="9"/>
    </row>
    <row r="709" spans="7:7" x14ac:dyDescent="0.3">
      <c r="G709" s="9"/>
    </row>
    <row r="710" spans="7:7" x14ac:dyDescent="0.3">
      <c r="G710" s="9"/>
    </row>
    <row r="711" spans="7:7" x14ac:dyDescent="0.3">
      <c r="G711" s="9"/>
    </row>
    <row r="712" spans="7:7" x14ac:dyDescent="0.3">
      <c r="G712" s="9"/>
    </row>
    <row r="713" spans="7:7" x14ac:dyDescent="0.3">
      <c r="G713" s="9"/>
    </row>
    <row r="714" spans="7:7" x14ac:dyDescent="0.3">
      <c r="G714" s="9"/>
    </row>
    <row r="715" spans="7:7" x14ac:dyDescent="0.3">
      <c r="G715" s="9"/>
    </row>
    <row r="716" spans="7:7" x14ac:dyDescent="0.3">
      <c r="G716" s="9"/>
    </row>
    <row r="717" spans="7:7" x14ac:dyDescent="0.3">
      <c r="G717" s="9"/>
    </row>
    <row r="718" spans="7:7" x14ac:dyDescent="0.3">
      <c r="G718" s="9"/>
    </row>
    <row r="719" spans="7:7" x14ac:dyDescent="0.3">
      <c r="G719" s="9"/>
    </row>
    <row r="720" spans="7:7" x14ac:dyDescent="0.3">
      <c r="G720" s="9"/>
    </row>
    <row r="721" spans="7:7" x14ac:dyDescent="0.3">
      <c r="G721" s="9"/>
    </row>
    <row r="722" spans="7:7" x14ac:dyDescent="0.3">
      <c r="G722" s="9"/>
    </row>
    <row r="723" spans="7:7" x14ac:dyDescent="0.3">
      <c r="G723" s="9"/>
    </row>
    <row r="724" spans="7:7" x14ac:dyDescent="0.3">
      <c r="G724" s="9"/>
    </row>
    <row r="725" spans="7:7" x14ac:dyDescent="0.3">
      <c r="G725" s="9"/>
    </row>
    <row r="726" spans="7:7" x14ac:dyDescent="0.3">
      <c r="G726" s="9"/>
    </row>
    <row r="727" spans="7:7" x14ac:dyDescent="0.3">
      <c r="G727" s="9"/>
    </row>
    <row r="728" spans="7:7" x14ac:dyDescent="0.3">
      <c r="G728" s="9"/>
    </row>
    <row r="729" spans="7:7" x14ac:dyDescent="0.3">
      <c r="G729" s="9"/>
    </row>
    <row r="730" spans="7:7" x14ac:dyDescent="0.3">
      <c r="G730" s="9"/>
    </row>
    <row r="731" spans="7:7" x14ac:dyDescent="0.3">
      <c r="G731" s="9"/>
    </row>
    <row r="732" spans="7:7" x14ac:dyDescent="0.3">
      <c r="G732" s="9"/>
    </row>
    <row r="733" spans="7:7" x14ac:dyDescent="0.3">
      <c r="G733" s="9"/>
    </row>
    <row r="734" spans="7:7" x14ac:dyDescent="0.3">
      <c r="G734" s="9"/>
    </row>
    <row r="735" spans="7:7" x14ac:dyDescent="0.3">
      <c r="G735" s="9"/>
    </row>
    <row r="736" spans="7:7" x14ac:dyDescent="0.3">
      <c r="G736" s="9"/>
    </row>
    <row r="737" spans="7:7" x14ac:dyDescent="0.3">
      <c r="G737" s="9"/>
    </row>
    <row r="738" spans="7:7" x14ac:dyDescent="0.3">
      <c r="G738" s="9"/>
    </row>
    <row r="739" spans="7:7" x14ac:dyDescent="0.3">
      <c r="G739" s="9"/>
    </row>
    <row r="740" spans="7:7" x14ac:dyDescent="0.3">
      <c r="G740" s="9"/>
    </row>
    <row r="741" spans="7:7" x14ac:dyDescent="0.3">
      <c r="G741" s="9"/>
    </row>
    <row r="742" spans="7:7" x14ac:dyDescent="0.3">
      <c r="G742" s="9"/>
    </row>
    <row r="743" spans="7:7" x14ac:dyDescent="0.3">
      <c r="G743" s="9"/>
    </row>
    <row r="744" spans="7:7" x14ac:dyDescent="0.3">
      <c r="G744" s="9"/>
    </row>
    <row r="745" spans="7:7" x14ac:dyDescent="0.3">
      <c r="G745" s="9"/>
    </row>
    <row r="746" spans="7:7" x14ac:dyDescent="0.3">
      <c r="G746" s="9"/>
    </row>
    <row r="747" spans="7:7" x14ac:dyDescent="0.3">
      <c r="G747" s="9"/>
    </row>
    <row r="748" spans="7:7" x14ac:dyDescent="0.3">
      <c r="G748" s="9"/>
    </row>
    <row r="749" spans="7:7" x14ac:dyDescent="0.3">
      <c r="G749" s="9"/>
    </row>
    <row r="750" spans="7:7" x14ac:dyDescent="0.3">
      <c r="G750" s="9"/>
    </row>
    <row r="751" spans="7:7" x14ac:dyDescent="0.3">
      <c r="G751" s="9"/>
    </row>
    <row r="752" spans="7:7" x14ac:dyDescent="0.3">
      <c r="G752" s="9"/>
    </row>
    <row r="753" spans="7:7" x14ac:dyDescent="0.3">
      <c r="G753" s="9"/>
    </row>
    <row r="754" spans="7:7" x14ac:dyDescent="0.3">
      <c r="G754" s="9"/>
    </row>
    <row r="755" spans="7:7" x14ac:dyDescent="0.3">
      <c r="G755" s="9"/>
    </row>
    <row r="756" spans="7:7" x14ac:dyDescent="0.3">
      <c r="G756" s="9"/>
    </row>
    <row r="757" spans="7:7" x14ac:dyDescent="0.3">
      <c r="G757" s="9"/>
    </row>
    <row r="758" spans="7:7" x14ac:dyDescent="0.3">
      <c r="G758" s="9"/>
    </row>
    <row r="759" spans="7:7" x14ac:dyDescent="0.3">
      <c r="G759" s="9"/>
    </row>
    <row r="760" spans="7:7" x14ac:dyDescent="0.3">
      <c r="G760" s="9"/>
    </row>
    <row r="761" spans="7:7" x14ac:dyDescent="0.3">
      <c r="G761" s="9"/>
    </row>
    <row r="762" spans="7:7" x14ac:dyDescent="0.3">
      <c r="G762" s="9"/>
    </row>
    <row r="763" spans="7:7" x14ac:dyDescent="0.3">
      <c r="G763" s="9"/>
    </row>
    <row r="764" spans="7:7" x14ac:dyDescent="0.3">
      <c r="G764" s="9"/>
    </row>
    <row r="765" spans="7:7" x14ac:dyDescent="0.3">
      <c r="G765" s="9"/>
    </row>
    <row r="766" spans="7:7" x14ac:dyDescent="0.3">
      <c r="G766" s="9"/>
    </row>
    <row r="767" spans="7:7" x14ac:dyDescent="0.3">
      <c r="G767" s="9"/>
    </row>
    <row r="768" spans="7:7" x14ac:dyDescent="0.3">
      <c r="G768" s="9"/>
    </row>
    <row r="769" spans="7:7" x14ac:dyDescent="0.3">
      <c r="G769" s="9"/>
    </row>
    <row r="770" spans="7:7" x14ac:dyDescent="0.3">
      <c r="G770" s="9"/>
    </row>
    <row r="771" spans="7:7" x14ac:dyDescent="0.3">
      <c r="G771" s="9"/>
    </row>
    <row r="772" spans="7:7" x14ac:dyDescent="0.3">
      <c r="G772" s="9"/>
    </row>
    <row r="773" spans="7:7" x14ac:dyDescent="0.3">
      <c r="G773" s="9"/>
    </row>
    <row r="774" spans="7:7" x14ac:dyDescent="0.3">
      <c r="G774" s="9"/>
    </row>
    <row r="775" spans="7:7" x14ac:dyDescent="0.3">
      <c r="G775" s="9"/>
    </row>
    <row r="776" spans="7:7" x14ac:dyDescent="0.3">
      <c r="G776" s="9"/>
    </row>
    <row r="777" spans="7:7" x14ac:dyDescent="0.3">
      <c r="G777" s="9"/>
    </row>
    <row r="778" spans="7:7" x14ac:dyDescent="0.3">
      <c r="G778" s="9"/>
    </row>
    <row r="779" spans="7:7" x14ac:dyDescent="0.3">
      <c r="G779" s="9"/>
    </row>
    <row r="780" spans="7:7" x14ac:dyDescent="0.3">
      <c r="G780" s="9"/>
    </row>
    <row r="781" spans="7:7" x14ac:dyDescent="0.3">
      <c r="G781" s="9"/>
    </row>
    <row r="782" spans="7:7" x14ac:dyDescent="0.3">
      <c r="G782" s="9"/>
    </row>
    <row r="783" spans="7:7" x14ac:dyDescent="0.3">
      <c r="G783" s="9"/>
    </row>
    <row r="784" spans="7:7" x14ac:dyDescent="0.3">
      <c r="G784" s="9"/>
    </row>
    <row r="785" spans="7:7" x14ac:dyDescent="0.3">
      <c r="G785" s="9"/>
    </row>
    <row r="786" spans="7:7" x14ac:dyDescent="0.3">
      <c r="G786" s="9"/>
    </row>
    <row r="787" spans="7:7" x14ac:dyDescent="0.3">
      <c r="G787" s="9"/>
    </row>
    <row r="788" spans="7:7" x14ac:dyDescent="0.3">
      <c r="G788" s="9"/>
    </row>
    <row r="789" spans="7:7" x14ac:dyDescent="0.3">
      <c r="G789" s="9"/>
    </row>
    <row r="790" spans="7:7" x14ac:dyDescent="0.3">
      <c r="G790" s="9"/>
    </row>
    <row r="791" spans="7:7" x14ac:dyDescent="0.3">
      <c r="G791" s="9"/>
    </row>
    <row r="792" spans="7:7" x14ac:dyDescent="0.3">
      <c r="G792" s="9"/>
    </row>
    <row r="793" spans="7:7" x14ac:dyDescent="0.3">
      <c r="G793" s="9"/>
    </row>
    <row r="794" spans="7:7" x14ac:dyDescent="0.3">
      <c r="G794" s="9"/>
    </row>
    <row r="795" spans="7:7" x14ac:dyDescent="0.3">
      <c r="G795" s="9"/>
    </row>
    <row r="796" spans="7:7" x14ac:dyDescent="0.3">
      <c r="G796" s="9"/>
    </row>
    <row r="797" spans="7:7" x14ac:dyDescent="0.3">
      <c r="G797" s="9"/>
    </row>
    <row r="798" spans="7:7" x14ac:dyDescent="0.3">
      <c r="G798" s="9"/>
    </row>
    <row r="799" spans="7:7" x14ac:dyDescent="0.3">
      <c r="G799" s="9"/>
    </row>
    <row r="800" spans="7:7" x14ac:dyDescent="0.3">
      <c r="G800" s="9"/>
    </row>
    <row r="801" spans="7:7" x14ac:dyDescent="0.3">
      <c r="G801" s="9"/>
    </row>
    <row r="802" spans="7:7" x14ac:dyDescent="0.3">
      <c r="G802" s="9"/>
    </row>
    <row r="803" spans="7:7" x14ac:dyDescent="0.3">
      <c r="G803" s="9"/>
    </row>
    <row r="804" spans="7:7" x14ac:dyDescent="0.3">
      <c r="G804" s="9"/>
    </row>
    <row r="805" spans="7:7" x14ac:dyDescent="0.3">
      <c r="G805" s="9"/>
    </row>
    <row r="806" spans="7:7" x14ac:dyDescent="0.3">
      <c r="G806" s="9"/>
    </row>
    <row r="807" spans="7:7" x14ac:dyDescent="0.3">
      <c r="G807" s="9"/>
    </row>
    <row r="808" spans="7:7" x14ac:dyDescent="0.3">
      <c r="G808" s="9"/>
    </row>
    <row r="809" spans="7:7" x14ac:dyDescent="0.3">
      <c r="G809" s="9"/>
    </row>
    <row r="810" spans="7:7" x14ac:dyDescent="0.3">
      <c r="G810" s="9"/>
    </row>
    <row r="811" spans="7:7" x14ac:dyDescent="0.3">
      <c r="G811" s="9"/>
    </row>
    <row r="812" spans="7:7" x14ac:dyDescent="0.3">
      <c r="G812" s="9"/>
    </row>
    <row r="813" spans="7:7" x14ac:dyDescent="0.3">
      <c r="G813" s="9"/>
    </row>
    <row r="814" spans="7:7" x14ac:dyDescent="0.3">
      <c r="G814" s="9"/>
    </row>
    <row r="815" spans="7:7" x14ac:dyDescent="0.3">
      <c r="G815" s="9"/>
    </row>
    <row r="816" spans="7:7" x14ac:dyDescent="0.3">
      <c r="G816" s="9"/>
    </row>
    <row r="817" spans="7:7" x14ac:dyDescent="0.3">
      <c r="G817" s="9"/>
    </row>
    <row r="818" spans="7:7" x14ac:dyDescent="0.3">
      <c r="G818" s="9"/>
    </row>
    <row r="819" spans="7:7" x14ac:dyDescent="0.3">
      <c r="G819" s="9"/>
    </row>
    <row r="820" spans="7:7" x14ac:dyDescent="0.3">
      <c r="G820" s="9"/>
    </row>
    <row r="821" spans="7:7" x14ac:dyDescent="0.3">
      <c r="G821" s="9"/>
    </row>
    <row r="822" spans="7:7" x14ac:dyDescent="0.3">
      <c r="G822" s="9"/>
    </row>
    <row r="823" spans="7:7" x14ac:dyDescent="0.3">
      <c r="G823" s="9"/>
    </row>
    <row r="824" spans="7:7" x14ac:dyDescent="0.3">
      <c r="G824" s="9"/>
    </row>
    <row r="825" spans="7:7" x14ac:dyDescent="0.3">
      <c r="G825" s="9"/>
    </row>
    <row r="826" spans="7:7" x14ac:dyDescent="0.3">
      <c r="G826" s="9"/>
    </row>
    <row r="827" spans="7:7" x14ac:dyDescent="0.3">
      <c r="G827" s="9"/>
    </row>
    <row r="828" spans="7:7" x14ac:dyDescent="0.3">
      <c r="G828" s="9"/>
    </row>
    <row r="829" spans="7:7" x14ac:dyDescent="0.3">
      <c r="G829" s="9"/>
    </row>
    <row r="830" spans="7:7" x14ac:dyDescent="0.3">
      <c r="G830" s="9"/>
    </row>
    <row r="831" spans="7:7" x14ac:dyDescent="0.3">
      <c r="G831" s="9"/>
    </row>
    <row r="832" spans="7:7" x14ac:dyDescent="0.3">
      <c r="G832" s="9"/>
    </row>
    <row r="833" spans="7:7" x14ac:dyDescent="0.3">
      <c r="G833" s="9"/>
    </row>
    <row r="834" spans="7:7" x14ac:dyDescent="0.3">
      <c r="G834" s="9"/>
    </row>
    <row r="835" spans="7:7" x14ac:dyDescent="0.3">
      <c r="G835" s="9"/>
    </row>
    <row r="836" spans="7:7" x14ac:dyDescent="0.3">
      <c r="G836" s="9"/>
    </row>
    <row r="837" spans="7:7" x14ac:dyDescent="0.3">
      <c r="G837" s="9"/>
    </row>
    <row r="838" spans="7:7" x14ac:dyDescent="0.3">
      <c r="G838" s="9"/>
    </row>
    <row r="839" spans="7:7" x14ac:dyDescent="0.3">
      <c r="G839" s="9"/>
    </row>
    <row r="840" spans="7:7" x14ac:dyDescent="0.3">
      <c r="G840" s="9"/>
    </row>
    <row r="841" spans="7:7" x14ac:dyDescent="0.3">
      <c r="G841" s="9"/>
    </row>
    <row r="842" spans="7:7" x14ac:dyDescent="0.3">
      <c r="G842" s="9"/>
    </row>
    <row r="843" spans="7:7" x14ac:dyDescent="0.3">
      <c r="G843" s="9"/>
    </row>
    <row r="844" spans="7:7" x14ac:dyDescent="0.3">
      <c r="G844" s="9"/>
    </row>
    <row r="845" spans="7:7" x14ac:dyDescent="0.3">
      <c r="G845" s="9"/>
    </row>
    <row r="846" spans="7:7" x14ac:dyDescent="0.3">
      <c r="G846" s="9"/>
    </row>
    <row r="847" spans="7:7" x14ac:dyDescent="0.3">
      <c r="G847" s="9"/>
    </row>
    <row r="848" spans="7:7" x14ac:dyDescent="0.3">
      <c r="G848" s="9"/>
    </row>
    <row r="849" spans="7:7" x14ac:dyDescent="0.3">
      <c r="G849" s="9"/>
    </row>
    <row r="850" spans="7:7" x14ac:dyDescent="0.3">
      <c r="G850" s="9"/>
    </row>
    <row r="851" spans="7:7" x14ac:dyDescent="0.3">
      <c r="G851" s="9"/>
    </row>
    <row r="852" spans="7:7" x14ac:dyDescent="0.3">
      <c r="G852" s="9"/>
    </row>
    <row r="853" spans="7:7" x14ac:dyDescent="0.3">
      <c r="G853" s="9"/>
    </row>
    <row r="854" spans="7:7" x14ac:dyDescent="0.3">
      <c r="G854" s="9"/>
    </row>
    <row r="855" spans="7:7" x14ac:dyDescent="0.3">
      <c r="G855" s="9"/>
    </row>
    <row r="856" spans="7:7" x14ac:dyDescent="0.3">
      <c r="G856" s="9"/>
    </row>
    <row r="857" spans="7:7" x14ac:dyDescent="0.3">
      <c r="G857" s="9"/>
    </row>
    <row r="858" spans="7:7" x14ac:dyDescent="0.3">
      <c r="G858" s="9"/>
    </row>
    <row r="859" spans="7:7" x14ac:dyDescent="0.3">
      <c r="G859" s="9"/>
    </row>
    <row r="860" spans="7:7" x14ac:dyDescent="0.3">
      <c r="G860" s="9"/>
    </row>
    <row r="861" spans="7:7" x14ac:dyDescent="0.3">
      <c r="G861" s="9"/>
    </row>
    <row r="862" spans="7:7" x14ac:dyDescent="0.3">
      <c r="G862" s="9"/>
    </row>
    <row r="863" spans="7:7" x14ac:dyDescent="0.3">
      <c r="G863" s="9"/>
    </row>
  </sheetData>
  <mergeCells count="9">
    <mergeCell ref="C86:D86"/>
    <mergeCell ref="C87:D87"/>
    <mergeCell ref="C88:D88"/>
    <mergeCell ref="C89:D89"/>
    <mergeCell ref="B1:H1"/>
    <mergeCell ref="B2:H2"/>
    <mergeCell ref="B81:H81"/>
    <mergeCell ref="B84:I84"/>
    <mergeCell ref="C85:D85"/>
  </mergeCells>
  <pageMargins left="1.45" right="0" top="0.5" bottom="0" header="0.3" footer="0.3"/>
  <pageSetup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Zahid Mahmood</dc:creator>
  <cp:lastModifiedBy>Zahid Mahmood</cp:lastModifiedBy>
  <cp:lastPrinted>2026-09-28T09:43:20Z</cp:lastPrinted>
  <dcterms:created xsi:type="dcterms:W3CDTF">2025-08-06T12:04:12Z</dcterms:created>
  <dcterms:modified xsi:type="dcterms:W3CDTF">2026-10-27T07:06:09Z</dcterms:modified>
</cp:coreProperties>
</file>